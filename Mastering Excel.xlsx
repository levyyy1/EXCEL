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05" windowWidth="10515" windowHeight="4695" activeTab="2"/>
  </bookViews>
  <sheets>
    <sheet name="FUNCTIONS" sheetId="1" r:id="rId1"/>
    <sheet name="PIVOT TABLE4" sheetId="5" r:id="rId2"/>
    <sheet name="PIVOT TABLE 2" sheetId="7" r:id="rId3"/>
    <sheet name="pivot table1" sheetId="2" r:id="rId4"/>
    <sheet name="PIVOT CHART" sheetId="8" r:id="rId5"/>
    <sheet name="PIVOT TABLE3" sheetId="3" r:id="rId6"/>
    <sheet name="conditional formatting" sheetId="9" r:id="rId7"/>
    <sheet name="Advance Filtering" sheetId="10" r:id="rId8"/>
    <sheet name="Macros" sheetId="11" r:id="rId9"/>
    <sheet name="conditionalformattinginmacros" sheetId="12" r:id="rId10"/>
    <sheet name="datalabels_legends" sheetId="13" r:id="rId11"/>
  </sheets>
  <definedNames>
    <definedName name="_xlnm._FilterDatabase" localSheetId="7" hidden="1">'Advance Filtering'!$A$1:$H$38</definedName>
    <definedName name="_xlnm.Criteria" localSheetId="7">'Advance Filtering'!$A:$H</definedName>
  </definedNames>
  <calcPr calcId="145621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C6" i="11" l="1"/>
  <c r="B6" i="11"/>
  <c r="D32" i="1" l="1"/>
  <c r="D33" i="1"/>
  <c r="B32" i="1"/>
  <c r="B26" i="1"/>
  <c r="C32" i="1" s="1"/>
  <c r="B8" i="1"/>
  <c r="B62" i="1"/>
  <c r="B59" i="1"/>
  <c r="D34" i="1"/>
  <c r="D35" i="1"/>
  <c r="D36" i="1"/>
  <c r="D37" i="1"/>
  <c r="B61" i="1" l="1"/>
  <c r="B60" i="1"/>
  <c r="B58" i="1"/>
</calcChain>
</file>

<file path=xl/sharedStrings.xml><?xml version="1.0" encoding="utf-8"?>
<sst xmlns="http://schemas.openxmlformats.org/spreadsheetml/2006/main" count="435" uniqueCount="221">
  <si>
    <t>Months</t>
  </si>
  <si>
    <t>Total income</t>
  </si>
  <si>
    <t>Total expenses</t>
  </si>
  <si>
    <t>Savings/Deficit</t>
  </si>
  <si>
    <t>3rd</t>
  </si>
  <si>
    <t>January</t>
  </si>
  <si>
    <t>February</t>
  </si>
  <si>
    <t>March</t>
  </si>
  <si>
    <t>April</t>
  </si>
  <si>
    <t>May</t>
  </si>
  <si>
    <t>June</t>
  </si>
  <si>
    <t>if function</t>
  </si>
  <si>
    <t>Bar Chart</t>
  </si>
  <si>
    <t>4th</t>
  </si>
  <si>
    <t>Average of Total income of the 1st quarter</t>
  </si>
  <si>
    <t xml:space="preserve">Average of Total income of the 2nd quarter </t>
  </si>
  <si>
    <t>MAX Expenditure</t>
  </si>
  <si>
    <t xml:space="preserve">Min Expenditure </t>
  </si>
  <si>
    <t xml:space="preserve">Functions </t>
  </si>
  <si>
    <t>MARCH STATUS</t>
  </si>
  <si>
    <t>AVERAGE,MAX,MIN,VLOOKUP</t>
  </si>
  <si>
    <t>1st</t>
  </si>
  <si>
    <t>Income (January)</t>
  </si>
  <si>
    <t xml:space="preserve">Source </t>
  </si>
  <si>
    <t>Amount</t>
  </si>
  <si>
    <t>Salary</t>
  </si>
  <si>
    <t>Partner's Salary</t>
  </si>
  <si>
    <t>Other income</t>
  </si>
  <si>
    <t>2nd</t>
  </si>
  <si>
    <t>Expenses (January)</t>
  </si>
  <si>
    <t>Category</t>
  </si>
  <si>
    <t>Investments</t>
  </si>
  <si>
    <t>Utilities</t>
  </si>
  <si>
    <t>Groceries</t>
  </si>
  <si>
    <t>Transportation</t>
  </si>
  <si>
    <t>Insurance</t>
  </si>
  <si>
    <t>Healthcare</t>
  </si>
  <si>
    <t xml:space="preserve">Entertainment </t>
  </si>
  <si>
    <t>Others</t>
  </si>
  <si>
    <t>Total Expenses</t>
  </si>
  <si>
    <t>Pivot Table</t>
  </si>
  <si>
    <t>Date</t>
  </si>
  <si>
    <t>Product</t>
  </si>
  <si>
    <t>Quantity Sold</t>
  </si>
  <si>
    <t>Revenue</t>
  </si>
  <si>
    <t>01-01-2022</t>
  </si>
  <si>
    <t>05-01-2022</t>
  </si>
  <si>
    <t>10-01-2022</t>
  </si>
  <si>
    <t>15-01-2022</t>
  </si>
  <si>
    <t>20-01-2022</t>
  </si>
  <si>
    <t>Bread</t>
  </si>
  <si>
    <t xml:space="preserve">Cake </t>
  </si>
  <si>
    <t>Cookie</t>
  </si>
  <si>
    <t>Row Labels</t>
  </si>
  <si>
    <t>Grand Total</t>
  </si>
  <si>
    <t>Sum of Quantity Sold</t>
  </si>
  <si>
    <t>Sum of Revenue</t>
  </si>
  <si>
    <t>03-02-2022</t>
  </si>
  <si>
    <t>Region</t>
  </si>
  <si>
    <t>Sales (£)</t>
  </si>
  <si>
    <t>Laptop</t>
  </si>
  <si>
    <t>North</t>
  </si>
  <si>
    <t>Mouse</t>
  </si>
  <si>
    <t>South</t>
  </si>
  <si>
    <t>Keyboard</t>
  </si>
  <si>
    <t>East</t>
  </si>
  <si>
    <t>West</t>
  </si>
  <si>
    <t>Monitor</t>
  </si>
  <si>
    <t>Sum of Sales (£)</t>
  </si>
  <si>
    <t>Feb</t>
  </si>
  <si>
    <t>Apr</t>
  </si>
  <si>
    <t>Jun</t>
  </si>
  <si>
    <t>Aug</t>
  </si>
  <si>
    <t>Oct</t>
  </si>
  <si>
    <t>Dec</t>
  </si>
  <si>
    <t>Column Labels</t>
  </si>
  <si>
    <t>Amount(in rupees)</t>
  </si>
  <si>
    <t>Dining Out</t>
  </si>
  <si>
    <t>Entertainment</t>
  </si>
  <si>
    <t>Clothing</t>
  </si>
  <si>
    <t>Misc</t>
  </si>
  <si>
    <t>Order ID</t>
  </si>
  <si>
    <t>Customer ID</t>
  </si>
  <si>
    <t>Customer Name</t>
  </si>
  <si>
    <t>O1001</t>
  </si>
  <si>
    <t>C101</t>
  </si>
  <si>
    <t>John Smith</t>
  </si>
  <si>
    <t>Electronics</t>
  </si>
  <si>
    <t>O1002</t>
  </si>
  <si>
    <t>C102</t>
  </si>
  <si>
    <t>Alice Brown</t>
  </si>
  <si>
    <t>O1003</t>
  </si>
  <si>
    <t>C103</t>
  </si>
  <si>
    <t>David Lee</t>
  </si>
  <si>
    <t>O1004</t>
  </si>
  <si>
    <t>C104</t>
  </si>
  <si>
    <t>Sarah Khan</t>
  </si>
  <si>
    <t>O1005</t>
  </si>
  <si>
    <t>C105</t>
  </si>
  <si>
    <t>Mike Ross</t>
  </si>
  <si>
    <t>O1006</t>
  </si>
  <si>
    <t>C106</t>
  </si>
  <si>
    <t>Emma Davis</t>
  </si>
  <si>
    <t>Chair</t>
  </si>
  <si>
    <t>Furniture</t>
  </si>
  <si>
    <t>O1007</t>
  </si>
  <si>
    <t>C107</t>
  </si>
  <si>
    <t>Robert King</t>
  </si>
  <si>
    <t>Desk</t>
  </si>
  <si>
    <t>O1008</t>
  </si>
  <si>
    <t>C108</t>
  </si>
  <si>
    <t>Lisa White</t>
  </si>
  <si>
    <t>O1010</t>
  </si>
  <si>
    <t>C109</t>
  </si>
  <si>
    <t>James Hall</t>
  </si>
  <si>
    <t>Printer</t>
  </si>
  <si>
    <t>O1011</t>
  </si>
  <si>
    <t>C110</t>
  </si>
  <si>
    <t>Olivia Scott</t>
  </si>
  <si>
    <t>O1012</t>
  </si>
  <si>
    <t>C111</t>
  </si>
  <si>
    <t>Daniel Green</t>
  </si>
  <si>
    <t>O1013</t>
  </si>
  <si>
    <t>C112</t>
  </si>
  <si>
    <t>Sophia Hill</t>
  </si>
  <si>
    <t>O1014</t>
  </si>
  <si>
    <t>C113</t>
  </si>
  <si>
    <t>Ethan Clark</t>
  </si>
  <si>
    <t>O1015</t>
  </si>
  <si>
    <t>C114</t>
  </si>
  <si>
    <t>Ava Lewis</t>
  </si>
  <si>
    <t>O1016</t>
  </si>
  <si>
    <t>C115</t>
  </si>
  <si>
    <t>Noah Young</t>
  </si>
  <si>
    <t>O1017</t>
  </si>
  <si>
    <t>C116</t>
  </si>
  <si>
    <t>Mia Allen</t>
  </si>
  <si>
    <t>O1018</t>
  </si>
  <si>
    <t>C117</t>
  </si>
  <si>
    <t>O1019</t>
  </si>
  <si>
    <t>C118</t>
  </si>
  <si>
    <t>alice brown</t>
  </si>
  <si>
    <t>O1020</t>
  </si>
  <si>
    <t>C119</t>
  </si>
  <si>
    <t>O1021</t>
  </si>
  <si>
    <t>C120</t>
  </si>
  <si>
    <t>north</t>
  </si>
  <si>
    <t>O1022</t>
  </si>
  <si>
    <t>C121</t>
  </si>
  <si>
    <t>O1023</t>
  </si>
  <si>
    <t>C122</t>
  </si>
  <si>
    <t>O1024</t>
  </si>
  <si>
    <t>C123</t>
  </si>
  <si>
    <t>O1025</t>
  </si>
  <si>
    <t>C124</t>
  </si>
  <si>
    <t>O1026</t>
  </si>
  <si>
    <t>27/01/2025</t>
  </si>
  <si>
    <t>C125</t>
  </si>
  <si>
    <t>O1027</t>
  </si>
  <si>
    <t>Jan 28 2025</t>
  </si>
  <si>
    <t>C126</t>
  </si>
  <si>
    <t>O1028</t>
  </si>
  <si>
    <t>C127</t>
  </si>
  <si>
    <t>O1029</t>
  </si>
  <si>
    <t>C128</t>
  </si>
  <si>
    <t>O1030</t>
  </si>
  <si>
    <t>C129</t>
  </si>
  <si>
    <t>O1031</t>
  </si>
  <si>
    <t>C130</t>
  </si>
  <si>
    <t>O1032</t>
  </si>
  <si>
    <t>C131</t>
  </si>
  <si>
    <t>O1033</t>
  </si>
  <si>
    <t>C132</t>
  </si>
  <si>
    <t>O1034</t>
  </si>
  <si>
    <t>Chris Martin</t>
  </si>
  <si>
    <t>O1035</t>
  </si>
  <si>
    <t>C134</t>
  </si>
  <si>
    <t>O1036</t>
  </si>
  <si>
    <t>C135</t>
  </si>
  <si>
    <t>Ryan Adams</t>
  </si>
  <si>
    <t>O1037</t>
  </si>
  <si>
    <t>C136</t>
  </si>
  <si>
    <t>Grace Miller</t>
  </si>
  <si>
    <t>O1038</t>
  </si>
  <si>
    <t>C137</t>
  </si>
  <si>
    <t>Product Name</t>
  </si>
  <si>
    <t>Units Sold</t>
  </si>
  <si>
    <t>Revenue(Rupees)</t>
  </si>
  <si>
    <t>Product A</t>
  </si>
  <si>
    <t>Product B</t>
  </si>
  <si>
    <t>Product C</t>
  </si>
  <si>
    <t>Product D</t>
  </si>
  <si>
    <t>Sum</t>
  </si>
  <si>
    <t>Student ID</t>
  </si>
  <si>
    <t>Name</t>
  </si>
  <si>
    <t>Math Score</t>
  </si>
  <si>
    <t>Science Score</t>
  </si>
  <si>
    <t>English Score</t>
  </si>
  <si>
    <t>Alice</t>
  </si>
  <si>
    <t>Bob</t>
  </si>
  <si>
    <t>Charlie</t>
  </si>
  <si>
    <t>David</t>
  </si>
  <si>
    <t>Emma</t>
  </si>
  <si>
    <t>Student</t>
  </si>
  <si>
    <t>Hours Studied (X)</t>
  </si>
  <si>
    <t>Exam Score (Y)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</si>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</sst>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3" tint="0.3999755851924192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49" fontId="0" fillId="6" borderId="1" xfId="0" applyNumberFormat="1" applyFill="1" applyBorder="1"/>
    <xf numFmtId="0" fontId="0" fillId="6" borderId="1" xfId="0" applyFill="1" applyBorder="1"/>
    <xf numFmtId="49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top"/>
    </xf>
    <xf numFmtId="0" fontId="0" fillId="0" borderId="0" xfId="0" pivotButton="1" applyAlignment="1">
      <alignment vertical="top"/>
    </xf>
    <xf numFmtId="14" fontId="0" fillId="0" borderId="0" xfId="0" applyNumberFormat="1" applyAlignment="1">
      <alignment horizontal="left" vertical="top"/>
    </xf>
    <xf numFmtId="0" fontId="0" fillId="0" borderId="0" xfId="0" pivotButton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15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6" fillId="7" borderId="2" xfId="0" applyFont="1" applyFill="1" applyBorder="1"/>
    <xf numFmtId="0" fontId="0" fillId="8" borderId="2" xfId="0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indent="0" readingOrder="0"/>
    </dxf>
    <dxf>
      <alignment vertical="top" indent="0" readingOrder="0"/>
    </dxf>
    <dxf>
      <alignment vertical="top" indent="0" readingOrder="0"/>
    </dxf>
    <dxf>
      <alignment vertical="top" indent="0" readingOrder="0"/>
    </dxf>
    <dxf>
      <alignment vertical="top" indent="0" readingOrder="0"/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accent5">
                    <a:lumMod val="50000"/>
                  </a:schemeClr>
                </a:solidFill>
                <a:effectLst/>
              </a:rPr>
              <a:t>Monthly Income VS Expenses </a:t>
            </a:r>
            <a:endParaRPr lang="en-US">
              <a:solidFill>
                <a:schemeClr val="accent5">
                  <a:lumMod val="50000"/>
                </a:schemeClr>
              </a:solidFill>
              <a:effectLst/>
            </a:endParaRPr>
          </a:p>
        </c:rich>
      </c:tx>
      <c:layout>
        <c:manualLayout>
          <c:xMode val="edge"/>
          <c:yMode val="edge"/>
          <c:x val="0.1373611111111111"/>
          <c:y val="3.240740740740740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FUNCTIONS!$B$31</c:f>
              <c:strCache>
                <c:ptCount val="1"/>
                <c:pt idx="0">
                  <c:v>Total income</c:v>
                </c:pt>
              </c:strCache>
            </c:strRef>
          </c:tx>
          <c:invertIfNegative val="0"/>
          <c:cat>
            <c:strRef>
              <c:f>FUNCTIONS!$A$32:$A$37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FUNCTIONS!$B$32:$B$37</c:f>
              <c:numCache>
                <c:formatCode>General</c:formatCode>
                <c:ptCount val="6"/>
                <c:pt idx="0">
                  <c:v>75000</c:v>
                </c:pt>
                <c:pt idx="1">
                  <c:v>75000</c:v>
                </c:pt>
                <c:pt idx="2">
                  <c:v>75000</c:v>
                </c:pt>
                <c:pt idx="3">
                  <c:v>80000</c:v>
                </c:pt>
                <c:pt idx="4">
                  <c:v>80000</c:v>
                </c:pt>
                <c:pt idx="5">
                  <c:v>80000</c:v>
                </c:pt>
              </c:numCache>
            </c:numRef>
          </c:val>
        </c:ser>
        <c:ser>
          <c:idx val="1"/>
          <c:order val="1"/>
          <c:tx>
            <c:strRef>
              <c:f>FUNCTIONS!$C$31</c:f>
              <c:strCache>
                <c:ptCount val="1"/>
                <c:pt idx="0">
                  <c:v>Total expenses</c:v>
                </c:pt>
              </c:strCache>
            </c:strRef>
          </c:tx>
          <c:invertIfNegative val="0"/>
          <c:cat>
            <c:strRef>
              <c:f>FUNCTIONS!$A$32:$A$37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FUNCTIONS!$C$32:$C$37</c:f>
              <c:numCache>
                <c:formatCode>General</c:formatCode>
                <c:ptCount val="6"/>
                <c:pt idx="0">
                  <c:v>26000</c:v>
                </c:pt>
                <c:pt idx="1">
                  <c:v>60000</c:v>
                </c:pt>
                <c:pt idx="2">
                  <c:v>82000</c:v>
                </c:pt>
                <c:pt idx="3">
                  <c:v>52000</c:v>
                </c:pt>
                <c:pt idx="4">
                  <c:v>100000</c:v>
                </c:pt>
                <c:pt idx="5">
                  <c:v>100000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039168"/>
        <c:axId val="212040704"/>
      </c:barChart>
      <c:catAx>
        <c:axId val="212039168"/>
        <c:scaling>
          <c:orientation val="minMax"/>
        </c:scaling>
        <c:delete val="0"/>
        <c:axPos val="b"/>
        <c:majorTickMark val="none"/>
        <c:minorTickMark val="none"/>
        <c:tickLblPos val="nextTo"/>
        <c:crossAx val="212040704"/>
        <c:crosses val="autoZero"/>
        <c:auto val="1"/>
        <c:lblAlgn val="ctr"/>
        <c:lblOffset val="100"/>
        <c:noMultiLvlLbl val="0"/>
      </c:catAx>
      <c:valAx>
        <c:axId val="2120407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12039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[Mastering Excel.xlsx]PIVOT TABLE 2!PivotTable3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multiLvlStrRef>
              <c:f>'PIVOT TABLE 2'!$A$2:$A$11</c:f>
              <c:multiLvlStrCache>
                <c:ptCount val="6"/>
                <c:lvl>
                  <c:pt idx="0">
                    <c:v>01-01-2022</c:v>
                  </c:pt>
                  <c:pt idx="1">
                    <c:v>10-01-2022</c:v>
                  </c:pt>
                  <c:pt idx="2">
                    <c:v>03-02-2022</c:v>
                  </c:pt>
                  <c:pt idx="3">
                    <c:v>15-01-2022</c:v>
                  </c:pt>
                  <c:pt idx="4">
                    <c:v>05-01-2022</c:v>
                  </c:pt>
                  <c:pt idx="5">
                    <c:v>20-01-2022</c:v>
                  </c:pt>
                </c:lvl>
                <c:lvl>
                  <c:pt idx="0">
                    <c:v>Bread</c:v>
                  </c:pt>
                  <c:pt idx="2">
                    <c:v>Cake </c:v>
                  </c:pt>
                  <c:pt idx="4">
                    <c:v>Cookie</c:v>
                  </c:pt>
                </c:lvl>
              </c:multiLvlStrCache>
            </c:multiLvlStrRef>
          </c:cat>
          <c:val>
            <c:numRef>
              <c:f>'PIVOT TABLE 2'!$B$2:$B$11</c:f>
              <c:numCache>
                <c:formatCode>General</c:formatCode>
                <c:ptCount val="6"/>
                <c:pt idx="0">
                  <c:v>50</c:v>
                </c:pt>
                <c:pt idx="1">
                  <c:v>30</c:v>
                </c:pt>
                <c:pt idx="2">
                  <c:v>20</c:v>
                </c:pt>
                <c:pt idx="3">
                  <c:v>25</c:v>
                </c:pt>
                <c:pt idx="4">
                  <c:v>100</c:v>
                </c:pt>
                <c:pt idx="5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[Mastering Excel.xlsx]PIVOT CHART!PivotTable4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CHART'!$B$1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CHART'!$A$2:$A$6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'PIVOT CHART'!$B$2:$B$6</c:f>
              <c:numCache>
                <c:formatCode>General</c:formatCode>
                <c:ptCount val="4"/>
                <c:pt idx="0">
                  <c:v>4050</c:v>
                </c:pt>
                <c:pt idx="1">
                  <c:v>11800</c:v>
                </c:pt>
                <c:pt idx="2">
                  <c:v>5000</c:v>
                </c:pt>
                <c:pt idx="3">
                  <c:v>2600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2457728"/>
        <c:axId val="212459520"/>
        <c:axId val="0"/>
      </c:bar3DChart>
      <c:catAx>
        <c:axId val="2124577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459520"/>
        <c:crosses val="autoZero"/>
        <c:auto val="1"/>
        <c:lblAlgn val="ctr"/>
        <c:lblOffset val="100"/>
        <c:noMultiLvlLbl val="0"/>
      </c:catAx>
      <c:valAx>
        <c:axId val="212459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57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773840769903762"/>
          <c:y val="9.3067220764071146E-2"/>
          <c:w val="0.49733005249343831"/>
          <c:h val="0.6103973461650626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datalabels_legends!$B$1</c:f>
              <c:strCache>
                <c:ptCount val="1"/>
                <c:pt idx="0">
                  <c:v>Hours Studied (X)</c:v>
                </c:pt>
              </c:strCache>
            </c:strRef>
          </c:tx>
          <c:marker>
            <c:symbol val="none"/>
          </c:marker>
          <c:xVal>
            <c:strRef>
              <c:f>datalabels_legends!$A$2:$A$16</c:f>
              <c:strCache>
                <c:ptCount val="1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</c:strCache>
            </c:strRef>
          </c:xVal>
          <c:yVal>
            <c:numRef>
              <c:f>datalabels_legends!$B$2:$B$16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datalabels_legends!$C$1</c:f>
              <c:strCache>
                <c:ptCount val="1"/>
                <c:pt idx="0">
                  <c:v>Exam Score (Y)</c:v>
                </c:pt>
              </c:strCache>
            </c:strRef>
          </c:tx>
          <c:marker>
            <c:symbol val="none"/>
          </c:marker>
          <c:xVal>
            <c:strRef>
              <c:f>datalabels_legends!$A$2:$A$16</c:f>
              <c:strCache>
                <c:ptCount val="1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</c:strCache>
            </c:strRef>
          </c:xVal>
          <c:yVal>
            <c:numRef>
              <c:f>datalabels_legends!$C$2:$C$16</c:f>
              <c:numCache>
                <c:formatCode>General</c:formatCode>
                <c:ptCount val="15"/>
                <c:pt idx="0">
                  <c:v>42</c:v>
                </c:pt>
                <c:pt idx="1">
                  <c:v>48</c:v>
                </c:pt>
                <c:pt idx="2">
                  <c:v>55</c:v>
                </c:pt>
                <c:pt idx="3">
                  <c:v>58</c:v>
                </c:pt>
                <c:pt idx="4">
                  <c:v>63</c:v>
                </c:pt>
                <c:pt idx="5">
                  <c:v>67</c:v>
                </c:pt>
                <c:pt idx="6">
                  <c:v>71</c:v>
                </c:pt>
                <c:pt idx="7">
                  <c:v>74</c:v>
                </c:pt>
                <c:pt idx="8">
                  <c:v>78</c:v>
                </c:pt>
                <c:pt idx="9">
                  <c:v>81</c:v>
                </c:pt>
                <c:pt idx="10">
                  <c:v>84</c:v>
                </c:pt>
                <c:pt idx="11">
                  <c:v>88</c:v>
                </c:pt>
                <c:pt idx="12">
                  <c:v>90</c:v>
                </c:pt>
                <c:pt idx="13">
                  <c:v>93</c:v>
                </c:pt>
                <c:pt idx="14">
                  <c:v>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83872"/>
        <c:axId val="212785408"/>
      </c:scatterChart>
      <c:valAx>
        <c:axId val="212783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12785408"/>
        <c:crosses val="autoZero"/>
        <c:crossBetween val="midCat"/>
      </c:valAx>
      <c:valAx>
        <c:axId val="21278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effectLst>
            <a:innerShdw blurRad="63500" dist="50800" dir="8100000">
              <a:schemeClr val="accent1">
                <a:lumMod val="75000"/>
                <a:alpha val="50000"/>
              </a:schemeClr>
            </a:innerShdw>
          </a:effectLst>
        </c:spPr>
        <c:crossAx val="212783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2526290463692037"/>
          <c:y val="0.81443095654709829"/>
          <c:w val="0.31252138451944916"/>
          <c:h val="0.1840500090160485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</xdr:colOff>
      <xdr:row>38</xdr:row>
      <xdr:rowOff>57150</xdr:rowOff>
    </xdr:from>
    <xdr:to>
      <xdr:col>6</xdr:col>
      <xdr:colOff>100012</xdr:colOff>
      <xdr:row>52</xdr:row>
      <xdr:rowOff>133350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2095500</xdr:colOff>
      <xdr:row>9</xdr:row>
      <xdr:rowOff>47625</xdr:rowOff>
    </xdr:from>
    <xdr:to>
      <xdr:col>11</xdr:col>
      <xdr:colOff>295275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</xdr:colOff>
      <xdr:row>0</xdr:row>
      <xdr:rowOff>361950</xdr:rowOff>
    </xdr:from>
    <xdr:to>
      <xdr:col>11</xdr:col>
      <xdr:colOff>504825</xdr:colOff>
      <xdr:row>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31.765916435186" createdVersion="4" refreshedVersion="4" minRefreshableVersion="3" recordCount="6">
  <cacheSource type="worksheet">
    <worksheetSource ref="A2:D8" sheet="pivot table1"/>
  </cacheSource>
  <cacheFields count="5">
    <cacheField name="Date" numFmtId="49">
      <sharedItems count="7">
        <s v="01-01-2022"/>
        <s v="03-02-2022"/>
        <s v="05-01-2022"/>
        <s v="10-01-2022"/>
        <s v="15-01-2022"/>
        <s v="20-01-2022"/>
        <s v="03-01-2022" u="1"/>
      </sharedItems>
    </cacheField>
    <cacheField name="Product" numFmtId="0">
      <sharedItems count="3">
        <s v="Bread"/>
        <s v="Cake "/>
        <s v="Cookie"/>
      </sharedItems>
    </cacheField>
    <cacheField name="Quantity Sold" numFmtId="0">
      <sharedItems containsSemiMixedTypes="0" containsString="0" containsNumber="1" containsInteger="1" minValue="20" maxValue="100"/>
    </cacheField>
    <cacheField name="Revenue" numFmtId="0">
      <sharedItems containsSemiMixedTypes="0" containsString="0" containsNumber="1" containsInteger="1" minValue="90" maxValue="200"/>
    </cacheField>
    <cacheField name="Average Revenue per Unit" numFmtId="0" formula="Revenue/'Quantity Sol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31.769270717596" createdVersion="4" refreshedVersion="4" minRefreshableVersion="3" recordCount="24">
  <cacheSource type="worksheet">
    <worksheetSource ref="A1:D25" sheet="PIVOT TABLE3"/>
  </cacheSource>
  <cacheFields count="4">
    <cacheField name="Date" numFmtId="14">
      <sharedItems containsSemiMixedTypes="0" containsNonDate="0" containsDate="1" containsString="0" minDate="2025-01-05T00:00:00" maxDate="2025-12-23T00:00:00" count="24">
        <d v="2025-01-05T00:00:00"/>
        <d v="2025-01-18T00:00:00"/>
        <d v="2025-02-12T00:00:00"/>
        <d v="2025-02-25T00:00:00"/>
        <d v="2025-03-10T00:00:00"/>
        <d v="2025-03-28T00:00:00"/>
        <d v="2025-04-07T00:00:00"/>
        <d v="2025-04-21T00:00:00"/>
        <d v="2025-05-09T00:00:00"/>
        <d v="2025-05-30T00:00:00"/>
        <d v="2025-06-14T00:00:00"/>
        <d v="2025-06-26T00:00:00"/>
        <d v="2025-07-11T00:00:00"/>
        <d v="2025-07-24T00:00:00"/>
        <d v="2025-08-08T00:00:00"/>
        <d v="2025-08-20T00:00:00"/>
        <d v="2025-09-03T00:00:00"/>
        <d v="2025-09-17T00:00:00"/>
        <d v="2025-10-06T00:00:00"/>
        <d v="2025-10-29T00:00:00"/>
        <d v="2025-11-13T00:00:00"/>
        <d v="2025-11-27T00:00:00"/>
        <d v="2025-12-10T00:00:00"/>
        <d v="2025-12-22T00:00:00"/>
      </sharedItems>
      <fieldGroup base="0">
        <rangePr groupBy="months" startDate="2025-01-05T00:00:00" endDate="2025-12-23T00:00:00"/>
        <groupItems count="14">
          <s v="&lt;1/5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3/2025"/>
        </groupItems>
      </fieldGroup>
    </cacheField>
    <cacheField name="Product" numFmtId="0">
      <sharedItems count="4">
        <s v="Laptop"/>
        <s v="Mouse"/>
        <s v="Keyboard"/>
        <s v="Monitor"/>
      </sharedItems>
    </cacheField>
    <cacheField name="Region" numFmtId="0">
      <sharedItems count="4">
        <s v="North"/>
        <s v="South"/>
        <s v="East"/>
        <s v="West"/>
      </sharedItems>
    </cacheField>
    <cacheField name="Sales (£)" numFmtId="0">
      <sharedItems containsSemiMixedTypes="0" containsString="0" containsNumber="1" containsInteger="1" minValue="350" maxValue="2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n v="50"/>
    <n v="200"/>
  </r>
  <r>
    <x v="1"/>
    <x v="1"/>
    <n v="20"/>
    <n v="150"/>
  </r>
  <r>
    <x v="2"/>
    <x v="2"/>
    <n v="100"/>
    <n v="120"/>
  </r>
  <r>
    <x v="3"/>
    <x v="0"/>
    <n v="30"/>
    <n v="120"/>
  </r>
  <r>
    <x v="4"/>
    <x v="1"/>
    <n v="25"/>
    <n v="180"/>
  </r>
  <r>
    <x v="5"/>
    <x v="2"/>
    <n v="80"/>
    <n v="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">
  <r>
    <x v="0"/>
    <x v="0"/>
    <x v="0"/>
    <n v="1200"/>
  </r>
  <r>
    <x v="1"/>
    <x v="1"/>
    <x v="1"/>
    <n v="350"/>
  </r>
  <r>
    <x v="2"/>
    <x v="2"/>
    <x v="2"/>
    <n v="600"/>
  </r>
  <r>
    <x v="3"/>
    <x v="0"/>
    <x v="3"/>
    <n v="1500"/>
  </r>
  <r>
    <x v="4"/>
    <x v="3"/>
    <x v="0"/>
    <n v="900"/>
  </r>
  <r>
    <x v="5"/>
    <x v="1"/>
    <x v="2"/>
    <n v="450"/>
  </r>
  <r>
    <x v="6"/>
    <x v="0"/>
    <x v="1"/>
    <n v="1700"/>
  </r>
  <r>
    <x v="7"/>
    <x v="2"/>
    <x v="3"/>
    <n v="550"/>
  </r>
  <r>
    <x v="8"/>
    <x v="3"/>
    <x v="2"/>
    <n v="1000"/>
  </r>
  <r>
    <x v="9"/>
    <x v="1"/>
    <x v="0"/>
    <n v="400"/>
  </r>
  <r>
    <x v="10"/>
    <x v="0"/>
    <x v="1"/>
    <n v="1800"/>
  </r>
  <r>
    <x v="11"/>
    <x v="2"/>
    <x v="2"/>
    <n v="700"/>
  </r>
  <r>
    <x v="12"/>
    <x v="3"/>
    <x v="3"/>
    <n v="950"/>
  </r>
  <r>
    <x v="13"/>
    <x v="1"/>
    <x v="1"/>
    <n v="500"/>
  </r>
  <r>
    <x v="14"/>
    <x v="0"/>
    <x v="0"/>
    <n v="1600"/>
  </r>
  <r>
    <x v="15"/>
    <x v="2"/>
    <x v="3"/>
    <n v="650"/>
  </r>
  <r>
    <x v="16"/>
    <x v="3"/>
    <x v="2"/>
    <n v="1100"/>
  </r>
  <r>
    <x v="17"/>
    <x v="1"/>
    <x v="0"/>
    <n v="420"/>
  </r>
  <r>
    <x v="18"/>
    <x v="0"/>
    <x v="1"/>
    <n v="1900"/>
  </r>
  <r>
    <x v="19"/>
    <x v="2"/>
    <x v="2"/>
    <n v="750"/>
  </r>
  <r>
    <x v="20"/>
    <x v="3"/>
    <x v="3"/>
    <n v="1050"/>
  </r>
  <r>
    <x v="21"/>
    <x v="1"/>
    <x v="1"/>
    <n v="480"/>
  </r>
  <r>
    <x v="22"/>
    <x v="0"/>
    <x v="0"/>
    <n v="2100"/>
  </r>
  <r>
    <x v="23"/>
    <x v="2"/>
    <x v="2"/>
    <n v="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6" firstHeaderRow="0" firstDataRow="1" firstDataCol="1"/>
  <pivotFields count="5">
    <pivotField axis="axisRow" showAll="0">
      <items count="8">
        <item x="0"/>
        <item m="1" x="6"/>
        <item x="2"/>
        <item x="3"/>
        <item x="4"/>
        <item x="5"/>
        <item x="1"/>
        <item t="default"/>
      </items>
    </pivotField>
    <pivotField axis="axisRow" multipleItemSelectionAllowed="1" showAll="0">
      <items count="4">
        <item x="0"/>
        <item x="1"/>
        <item x="2"/>
        <item t="default"/>
      </items>
    </pivotField>
    <pivotField dataField="1" showAll="0"/>
    <pivotField dataField="1" showAll="0"/>
    <pivotField dragToRow="0" dragToCol="0" dragToPage="0" showAll="0" defaultSubtotal="0"/>
  </pivotFields>
  <rowFields count="2">
    <field x="0"/>
    <field x="1"/>
  </rowFields>
  <rowItems count="13">
    <i>
      <x/>
    </i>
    <i r="1">
      <x/>
    </i>
    <i>
      <x v="2"/>
    </i>
    <i r="1">
      <x v="2"/>
    </i>
    <i>
      <x v="3"/>
    </i>
    <i r="1">
      <x/>
    </i>
    <i>
      <x v="4"/>
    </i>
    <i r="1">
      <x v="1"/>
    </i>
    <i>
      <x v="5"/>
    </i>
    <i r="1">
      <x v="2"/>
    </i>
    <i>
      <x v="6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" baseField="0" baseItem="0"/>
    <dataField name="Sum of Quantity Sold" fld="2" baseField="0" baseItem="0"/>
  </dataField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11" firstHeaderRow="1" firstDataRow="1" firstDataCol="1"/>
  <pivotFields count="5">
    <pivotField axis="axisRow" showAll="0">
      <items count="8">
        <item x="0"/>
        <item m="1" x="6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ragToRow="0" dragToCol="0" dragToPage="0" showAll="0" defaultSubtotal="0"/>
  </pivotFields>
  <rowFields count="2">
    <field x="1"/>
    <field x="0"/>
  </rowFields>
  <rowItems count="10">
    <i>
      <x/>
    </i>
    <i r="1">
      <x/>
    </i>
    <i r="1">
      <x v="4"/>
    </i>
    <i>
      <x v="1"/>
    </i>
    <i r="1">
      <x v="2"/>
    </i>
    <i r="1">
      <x v="5"/>
    </i>
    <i>
      <x v="2"/>
    </i>
    <i r="1">
      <x v="3"/>
    </i>
    <i r="1">
      <x v="6"/>
    </i>
    <i t="grand">
      <x/>
    </i>
  </rowItems>
  <colItems count="1">
    <i/>
  </colItems>
  <dataFields count="1">
    <dataField name="Sum of Quantity Sold" fld="2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6" firstHeaderRow="1" firstDataRow="1" firstDataCol="1"/>
  <pivotFields count="4">
    <pivotField numFmtId="1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£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G3:H16" firstHeaderRow="1" firstDataRow="2" firstDataCol="1"/>
  <pivotFields count="4">
    <pivotField axis="axisRow"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showAll="0" defaultSubtotal="0">
      <items count="4">
        <item x="2"/>
        <item h="1" x="0"/>
        <item h="1" x="3"/>
        <item h="1" x="1"/>
      </items>
    </pivotField>
    <pivotField axis="axisRow" showAll="0" defaultSubtotal="0">
      <items count="4">
        <item x="2"/>
        <item x="0"/>
        <item x="1"/>
        <item x="3"/>
      </items>
    </pivotField>
    <pivotField dataField="1" showAll="0" defaultSubtotal="0"/>
  </pivotFields>
  <rowFields count="2">
    <field x="0"/>
    <field x="2"/>
  </rowFields>
  <rowItems count="12">
    <i>
      <x v="2"/>
    </i>
    <i r="1">
      <x/>
    </i>
    <i>
      <x v="4"/>
    </i>
    <i r="1">
      <x v="3"/>
    </i>
    <i>
      <x v="6"/>
    </i>
    <i r="1">
      <x/>
    </i>
    <i>
      <x v="8"/>
    </i>
    <i r="1">
      <x v="3"/>
    </i>
    <i>
      <x v="10"/>
    </i>
    <i r="1">
      <x/>
    </i>
    <i>
      <x v="12"/>
    </i>
    <i r="1">
      <x/>
    </i>
  </rowItems>
  <colFields count="1">
    <field x="1"/>
  </colFields>
  <colItems count="1">
    <i>
      <x/>
    </i>
  </colItems>
  <dataFields count="1">
    <dataField name="Sum of Sales (£)" fld="3" baseField="0" baseItem="0"/>
  </dataFields>
  <formats count="15"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12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0"/>
        </references>
      </pivotArea>
    </format>
    <format dxfId="11">
      <pivotArea outline="0" collapsedLevelsAreSubtotals="1" fieldPosition="0"/>
    </format>
    <format dxfId="10">
      <pivotArea field="1" type="button" dataOnly="0" labelOnly="1" outline="0" axis="axisCol" fieldPosition="0"/>
    </format>
    <format dxfId="9">
      <pivotArea type="topRight" dataOnly="0" labelOnly="1" outline="0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Col="1" outline="0" fieldPosition="0"/>
    </format>
    <format dxfId="6">
      <pivotArea outline="0" collapsedLevelsAreSubtotals="1" fieldPosition="0"/>
    </format>
    <format dxfId="5">
      <pivotArea field="1" type="button" dataOnly="0" labelOnly="1" outline="0" axis="axisCol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Col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2"/>
  <sheetViews>
    <sheetView topLeftCell="A4" workbookViewId="0">
      <selection activeCell="D31" sqref="D31"/>
    </sheetView>
  </sheetViews>
  <sheetFormatPr defaultRowHeight="15" x14ac:dyDescent="0.25"/>
  <cols>
    <col min="1" max="1" width="17.42578125" customWidth="1"/>
    <col min="2" max="2" width="12.42578125" bestFit="1" customWidth="1"/>
    <col min="3" max="4" width="14.42578125" bestFit="1" customWidth="1"/>
  </cols>
  <sheetData>
    <row r="1" spans="1:2" ht="26.25" x14ac:dyDescent="0.4">
      <c r="A1" s="4" t="s">
        <v>21</v>
      </c>
      <c r="B1" s="5"/>
    </row>
    <row r="2" spans="1:2" x14ac:dyDescent="0.25">
      <c r="A2" s="41" t="s">
        <v>22</v>
      </c>
      <c r="B2" s="41"/>
    </row>
    <row r="3" spans="1:2" x14ac:dyDescent="0.25">
      <c r="A3" s="5" t="s">
        <v>23</v>
      </c>
      <c r="B3" s="5" t="s">
        <v>24</v>
      </c>
    </row>
    <row r="4" spans="1:2" x14ac:dyDescent="0.25">
      <c r="A4" s="5"/>
      <c r="B4" s="5"/>
    </row>
    <row r="5" spans="1:2" x14ac:dyDescent="0.25">
      <c r="A5" s="5" t="s">
        <v>25</v>
      </c>
      <c r="B5" s="5">
        <v>40000</v>
      </c>
    </row>
    <row r="6" spans="1:2" x14ac:dyDescent="0.25">
      <c r="A6" s="5" t="s">
        <v>26</v>
      </c>
      <c r="B6" s="5">
        <v>30000</v>
      </c>
    </row>
    <row r="7" spans="1:2" x14ac:dyDescent="0.25">
      <c r="A7" s="5" t="s">
        <v>27</v>
      </c>
      <c r="B7" s="5">
        <v>5000</v>
      </c>
    </row>
    <row r="8" spans="1:2" x14ac:dyDescent="0.25">
      <c r="A8" s="5" t="s">
        <v>1</v>
      </c>
      <c r="B8" s="5">
        <f>SUM(B5:B7)</f>
        <v>75000</v>
      </c>
    </row>
    <row r="12" spans="1:2" ht="26.25" x14ac:dyDescent="0.4">
      <c r="A12" s="42" t="s">
        <v>28</v>
      </c>
      <c r="B12" s="42"/>
    </row>
    <row r="13" spans="1:2" x14ac:dyDescent="0.25">
      <c r="A13" s="43" t="s">
        <v>29</v>
      </c>
      <c r="B13" s="43"/>
    </row>
    <row r="14" spans="1:2" x14ac:dyDescent="0.25">
      <c r="A14" s="5" t="s">
        <v>30</v>
      </c>
      <c r="B14" s="5" t="s">
        <v>24</v>
      </c>
    </row>
    <row r="15" spans="1:2" x14ac:dyDescent="0.25">
      <c r="A15" s="5"/>
      <c r="B15" s="5"/>
    </row>
    <row r="16" spans="1:2" x14ac:dyDescent="0.25">
      <c r="A16" s="5"/>
      <c r="B16" s="5"/>
    </row>
    <row r="17" spans="1:9" x14ac:dyDescent="0.25">
      <c r="A17" s="5" t="s">
        <v>31</v>
      </c>
      <c r="B17" s="5">
        <v>2000</v>
      </c>
    </row>
    <row r="18" spans="1:9" x14ac:dyDescent="0.25">
      <c r="A18" s="5" t="s">
        <v>32</v>
      </c>
      <c r="B18" s="5">
        <v>3000</v>
      </c>
    </row>
    <row r="19" spans="1:9" x14ac:dyDescent="0.25">
      <c r="A19" s="5" t="s">
        <v>33</v>
      </c>
      <c r="B19" s="5">
        <v>3000</v>
      </c>
    </row>
    <row r="20" spans="1:9" x14ac:dyDescent="0.25">
      <c r="A20" s="5" t="s">
        <v>34</v>
      </c>
      <c r="B20" s="5">
        <v>5000</v>
      </c>
    </row>
    <row r="21" spans="1:9" x14ac:dyDescent="0.25">
      <c r="A21" s="5" t="s">
        <v>35</v>
      </c>
      <c r="B21" s="5">
        <v>5000</v>
      </c>
    </row>
    <row r="22" spans="1:9" x14ac:dyDescent="0.25">
      <c r="A22" s="5" t="s">
        <v>36</v>
      </c>
      <c r="B22" s="5">
        <v>1000</v>
      </c>
    </row>
    <row r="23" spans="1:9" x14ac:dyDescent="0.25">
      <c r="A23" s="5" t="s">
        <v>37</v>
      </c>
      <c r="B23" s="5">
        <v>2000</v>
      </c>
    </row>
    <row r="24" spans="1:9" x14ac:dyDescent="0.25">
      <c r="A24" s="5" t="s">
        <v>38</v>
      </c>
      <c r="B24" s="5">
        <v>5000</v>
      </c>
    </row>
    <row r="25" spans="1:9" x14ac:dyDescent="0.25">
      <c r="A25" s="5"/>
      <c r="B25" s="5"/>
    </row>
    <row r="26" spans="1:9" x14ac:dyDescent="0.25">
      <c r="A26" s="5" t="s">
        <v>39</v>
      </c>
      <c r="B26" s="5">
        <f>SUM(B17:B25)</f>
        <v>26000</v>
      </c>
    </row>
    <row r="30" spans="1:9" ht="26.25" x14ac:dyDescent="0.4">
      <c r="A30" s="4" t="s">
        <v>4</v>
      </c>
      <c r="B30" s="44"/>
      <c r="C30" s="44"/>
      <c r="D30" s="44"/>
    </row>
    <row r="31" spans="1:9" x14ac:dyDescent="0.25">
      <c r="A31" s="7" t="s">
        <v>0</v>
      </c>
      <c r="B31" s="7" t="s">
        <v>1</v>
      </c>
      <c r="C31" s="7" t="s">
        <v>2</v>
      </c>
      <c r="D31" s="7" t="s">
        <v>3</v>
      </c>
    </row>
    <row r="32" spans="1:9" ht="15" customHeight="1" x14ac:dyDescent="0.25">
      <c r="A32" s="5" t="s">
        <v>5</v>
      </c>
      <c r="B32" s="5">
        <f>B8</f>
        <v>75000</v>
      </c>
      <c r="C32" s="5">
        <f>B26</f>
        <v>26000</v>
      </c>
      <c r="D32" s="5" t="str">
        <f>IF(B32&gt;C32,"Savings","Deficit")</f>
        <v>Savings</v>
      </c>
      <c r="F32" s="40" t="s">
        <v>11</v>
      </c>
      <c r="G32" s="40"/>
      <c r="H32" s="40"/>
      <c r="I32" s="40"/>
    </row>
    <row r="33" spans="1:14" ht="15" customHeight="1" x14ac:dyDescent="0.25">
      <c r="A33" s="5" t="s">
        <v>6</v>
      </c>
      <c r="B33" s="5">
        <v>75000</v>
      </c>
      <c r="C33" s="5">
        <v>60000</v>
      </c>
      <c r="D33" s="5" t="str">
        <f>IF(B33&gt;C33,"Savings","Deficit")</f>
        <v>Savings</v>
      </c>
      <c r="F33" s="40"/>
      <c r="G33" s="40"/>
      <c r="H33" s="40"/>
      <c r="I33" s="40"/>
    </row>
    <row r="34" spans="1:14" ht="15" customHeight="1" x14ac:dyDescent="0.25">
      <c r="A34" s="5" t="s">
        <v>7</v>
      </c>
      <c r="B34" s="5">
        <v>75000</v>
      </c>
      <c r="C34" s="5">
        <v>82000</v>
      </c>
      <c r="D34" s="5" t="str">
        <f t="shared" ref="D34:D37" si="0">IF(B34&gt;C34,"Savings","Deficit")</f>
        <v>Deficit</v>
      </c>
      <c r="F34" s="40"/>
      <c r="G34" s="40"/>
      <c r="H34" s="40"/>
      <c r="I34" s="40"/>
    </row>
    <row r="35" spans="1:14" x14ac:dyDescent="0.25">
      <c r="A35" s="5" t="s">
        <v>8</v>
      </c>
      <c r="B35" s="5">
        <v>80000</v>
      </c>
      <c r="C35" s="5">
        <v>52000</v>
      </c>
      <c r="D35" s="5" t="str">
        <f t="shared" si="0"/>
        <v>Savings</v>
      </c>
    </row>
    <row r="36" spans="1:14" x14ac:dyDescent="0.25">
      <c r="A36" s="5" t="s">
        <v>9</v>
      </c>
      <c r="B36" s="5">
        <v>80000</v>
      </c>
      <c r="C36" s="5">
        <v>100000</v>
      </c>
      <c r="D36" s="5" t="str">
        <f t="shared" si="0"/>
        <v>Deficit</v>
      </c>
    </row>
    <row r="37" spans="1:14" x14ac:dyDescent="0.25">
      <c r="A37" s="5" t="s">
        <v>10</v>
      </c>
      <c r="B37" s="5">
        <v>80000</v>
      </c>
      <c r="C37" s="5">
        <v>100000</v>
      </c>
      <c r="D37" s="5" t="str">
        <f t="shared" si="0"/>
        <v>Deficit</v>
      </c>
    </row>
    <row r="43" spans="1:14" ht="15" customHeight="1" x14ac:dyDescent="0.25">
      <c r="H43" s="40" t="s">
        <v>12</v>
      </c>
      <c r="I43" s="40"/>
      <c r="J43" s="40"/>
      <c r="K43" s="40"/>
      <c r="N43" s="1"/>
    </row>
    <row r="44" spans="1:14" ht="15" customHeight="1" x14ac:dyDescent="0.25">
      <c r="H44" s="40"/>
      <c r="I44" s="40"/>
      <c r="J44" s="40"/>
      <c r="K44" s="40"/>
    </row>
    <row r="45" spans="1:14" ht="15" customHeight="1" x14ac:dyDescent="0.25">
      <c r="H45" s="40"/>
      <c r="I45" s="40"/>
      <c r="J45" s="40"/>
      <c r="K45" s="40"/>
    </row>
    <row r="56" spans="1:14" ht="26.25" x14ac:dyDescent="0.4">
      <c r="A56" s="4" t="s">
        <v>13</v>
      </c>
      <c r="B56" s="5"/>
    </row>
    <row r="57" spans="1:14" x14ac:dyDescent="0.25">
      <c r="A57" s="6" t="s">
        <v>18</v>
      </c>
      <c r="B57" s="7"/>
    </row>
    <row r="58" spans="1:14" ht="47.25" x14ac:dyDescent="0.7">
      <c r="A58" s="8" t="s">
        <v>14</v>
      </c>
      <c r="B58" s="9">
        <f>AVERAGE(B32:B34)</f>
        <v>75000</v>
      </c>
      <c r="E58" s="40" t="s">
        <v>20</v>
      </c>
      <c r="F58" s="40"/>
      <c r="G58" s="40"/>
      <c r="H58" s="40"/>
      <c r="I58" s="40"/>
      <c r="J58" s="40"/>
      <c r="K58" s="40"/>
      <c r="L58" s="40"/>
      <c r="M58" s="40"/>
      <c r="N58" s="40"/>
    </row>
    <row r="59" spans="1:14" ht="47.25" x14ac:dyDescent="0.25">
      <c r="A59" s="8" t="s">
        <v>15</v>
      </c>
      <c r="B59" s="9">
        <f>AVERAGE(B35:B37)</f>
        <v>80000</v>
      </c>
    </row>
    <row r="60" spans="1:14" ht="15.75" x14ac:dyDescent="0.25">
      <c r="A60" s="8" t="s">
        <v>16</v>
      </c>
      <c r="B60" s="9">
        <f>MAX(C32:C37)</f>
        <v>100000</v>
      </c>
    </row>
    <row r="61" spans="1:14" ht="15.75" x14ac:dyDescent="0.25">
      <c r="A61" s="8" t="s">
        <v>17</v>
      </c>
      <c r="B61" s="9">
        <f>MIN(C32:C37)</f>
        <v>26000</v>
      </c>
    </row>
    <row r="62" spans="1:14" ht="15.75" x14ac:dyDescent="0.25">
      <c r="A62" s="8" t="s">
        <v>19</v>
      </c>
      <c r="B62" s="9" t="str">
        <f>VLOOKUP(A34,A31:D37,4,FALSE)</f>
        <v>Deficit</v>
      </c>
    </row>
  </sheetData>
  <mergeCells count="7">
    <mergeCell ref="E58:N58"/>
    <mergeCell ref="A2:B2"/>
    <mergeCell ref="A12:B12"/>
    <mergeCell ref="A13:B13"/>
    <mergeCell ref="B30:D30"/>
    <mergeCell ref="F32:I34"/>
    <mergeCell ref="H43:K45"/>
  </mergeCells>
  <conditionalFormatting sqref="A1:XFD1048576">
    <cfRule type="containsText" dxfId="19" priority="3" operator="containsText" text="Savings">
      <formula>NOT(ISERROR(SEARCH("Savings",A1)))</formula>
    </cfRule>
    <cfRule type="containsText" dxfId="18" priority="2" operator="containsText" text="Deficit">
      <formula>NOT(ISERROR(SEARCH("Deficit",A1)))</formula>
    </cfRule>
    <cfRule type="containsText" dxfId="17" priority="1" operator="containsText" text="savings/deficit">
      <formula>NOT(ISERROR(SEARCH("savings/deficit",A1)))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C16"/>
  <sheetViews>
    <sheetView topLeftCell="B1" workbookViewId="0">
      <selection activeCell="C8" sqref="C8"/>
    </sheetView>
  </sheetViews>
  <sheetFormatPr defaultRowHeight="15" x14ac:dyDescent="0.25"/>
  <cols>
    <col min="1" max="1" width="13.140625" customWidth="1"/>
    <col min="2" max="2" width="15.5703125" customWidth="1"/>
    <col min="3" max="3" width="19.85546875" customWidth="1"/>
    <col min="4" max="4" width="7.140625" customWidth="1"/>
    <col min="5" max="5" width="11.28515625" bestFit="1" customWidth="1"/>
  </cols>
  <sheetData>
    <row r="3" spans="1:3" x14ac:dyDescent="0.25">
      <c r="A3" s="16" t="s">
        <v>53</v>
      </c>
      <c r="B3" t="s">
        <v>56</v>
      </c>
      <c r="C3" t="s">
        <v>55</v>
      </c>
    </row>
    <row r="4" spans="1:3" x14ac:dyDescent="0.25">
      <c r="A4" s="17" t="s">
        <v>45</v>
      </c>
      <c r="B4" s="11">
        <v>200</v>
      </c>
      <c r="C4" s="11">
        <v>50</v>
      </c>
    </row>
    <row r="5" spans="1:3" x14ac:dyDescent="0.25">
      <c r="A5" s="18" t="s">
        <v>50</v>
      </c>
      <c r="B5" s="11">
        <v>200</v>
      </c>
      <c r="C5" s="11">
        <v>50</v>
      </c>
    </row>
    <row r="6" spans="1:3" x14ac:dyDescent="0.25">
      <c r="A6" s="17" t="s">
        <v>46</v>
      </c>
      <c r="B6" s="11">
        <v>120</v>
      </c>
      <c r="C6" s="11">
        <v>100</v>
      </c>
    </row>
    <row r="7" spans="1:3" x14ac:dyDescent="0.25">
      <c r="A7" s="18" t="s">
        <v>52</v>
      </c>
      <c r="B7" s="11">
        <v>120</v>
      </c>
      <c r="C7" s="11">
        <v>100</v>
      </c>
    </row>
    <row r="8" spans="1:3" x14ac:dyDescent="0.25">
      <c r="A8" s="17" t="s">
        <v>47</v>
      </c>
      <c r="B8" s="11">
        <v>120</v>
      </c>
      <c r="C8" s="11">
        <v>30</v>
      </c>
    </row>
    <row r="9" spans="1:3" x14ac:dyDescent="0.25">
      <c r="A9" s="18" t="s">
        <v>50</v>
      </c>
      <c r="B9" s="11">
        <v>120</v>
      </c>
      <c r="C9" s="11">
        <v>30</v>
      </c>
    </row>
    <row r="10" spans="1:3" x14ac:dyDescent="0.25">
      <c r="A10" s="17" t="s">
        <v>48</v>
      </c>
      <c r="B10" s="11">
        <v>180</v>
      </c>
      <c r="C10" s="11">
        <v>25</v>
      </c>
    </row>
    <row r="11" spans="1:3" x14ac:dyDescent="0.25">
      <c r="A11" s="18" t="s">
        <v>51</v>
      </c>
      <c r="B11" s="11">
        <v>180</v>
      </c>
      <c r="C11" s="11">
        <v>25</v>
      </c>
    </row>
    <row r="12" spans="1:3" x14ac:dyDescent="0.25">
      <c r="A12" s="17" t="s">
        <v>49</v>
      </c>
      <c r="B12" s="11">
        <v>90</v>
      </c>
      <c r="C12" s="11">
        <v>80</v>
      </c>
    </row>
    <row r="13" spans="1:3" x14ac:dyDescent="0.25">
      <c r="A13" s="18" t="s">
        <v>52</v>
      </c>
      <c r="B13" s="11">
        <v>90</v>
      </c>
      <c r="C13" s="11">
        <v>80</v>
      </c>
    </row>
    <row r="14" spans="1:3" x14ac:dyDescent="0.25">
      <c r="A14" s="17" t="s">
        <v>57</v>
      </c>
      <c r="B14" s="11">
        <v>150</v>
      </c>
      <c r="C14" s="11">
        <v>20</v>
      </c>
    </row>
    <row r="15" spans="1:3" x14ac:dyDescent="0.25">
      <c r="A15" s="18" t="s">
        <v>51</v>
      </c>
      <c r="B15" s="11">
        <v>150</v>
      </c>
      <c r="C15" s="11">
        <v>20</v>
      </c>
    </row>
    <row r="16" spans="1:3" x14ac:dyDescent="0.25">
      <c r="A16" s="17" t="s">
        <v>54</v>
      </c>
      <c r="B16" s="11">
        <v>860</v>
      </c>
      <c r="C16" s="11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11"/>
  <sheetViews>
    <sheetView tabSelected="1" workbookViewId="0">
      <selection activeCell="C23" sqref="C23"/>
    </sheetView>
  </sheetViews>
  <sheetFormatPr defaultRowHeight="15" x14ac:dyDescent="0.25"/>
  <cols>
    <col min="1" max="1" width="14.140625" customWidth="1"/>
    <col min="2" max="2" width="19.85546875" customWidth="1"/>
    <col min="3" max="3" width="15.5703125" bestFit="1" customWidth="1"/>
    <col min="4" max="4" width="31.5703125" bestFit="1" customWidth="1"/>
  </cols>
  <sheetData>
    <row r="1" spans="1:2" x14ac:dyDescent="0.25">
      <c r="A1" s="16" t="s">
        <v>53</v>
      </c>
      <c r="B1" t="s">
        <v>55</v>
      </c>
    </row>
    <row r="2" spans="1:2" x14ac:dyDescent="0.25">
      <c r="A2" s="17" t="s">
        <v>50</v>
      </c>
      <c r="B2" s="11">
        <v>80</v>
      </c>
    </row>
    <row r="3" spans="1:2" x14ac:dyDescent="0.25">
      <c r="A3" s="18" t="s">
        <v>45</v>
      </c>
      <c r="B3" s="11">
        <v>50</v>
      </c>
    </row>
    <row r="4" spans="1:2" x14ac:dyDescent="0.25">
      <c r="A4" s="18" t="s">
        <v>47</v>
      </c>
      <c r="B4" s="11">
        <v>30</v>
      </c>
    </row>
    <row r="5" spans="1:2" x14ac:dyDescent="0.25">
      <c r="A5" s="17" t="s">
        <v>51</v>
      </c>
      <c r="B5" s="11">
        <v>45</v>
      </c>
    </row>
    <row r="6" spans="1:2" x14ac:dyDescent="0.25">
      <c r="A6" s="18" t="s">
        <v>57</v>
      </c>
      <c r="B6" s="11">
        <v>20</v>
      </c>
    </row>
    <row r="7" spans="1:2" x14ac:dyDescent="0.25">
      <c r="A7" s="18" t="s">
        <v>48</v>
      </c>
      <c r="B7" s="11">
        <v>25</v>
      </c>
    </row>
    <row r="8" spans="1:2" x14ac:dyDescent="0.25">
      <c r="A8" s="17" t="s">
        <v>52</v>
      </c>
      <c r="B8" s="11">
        <v>180</v>
      </c>
    </row>
    <row r="9" spans="1:2" x14ac:dyDescent="0.25">
      <c r="A9" s="18" t="s">
        <v>46</v>
      </c>
      <c r="B9" s="11">
        <v>100</v>
      </c>
    </row>
    <row r="10" spans="1:2" x14ac:dyDescent="0.25">
      <c r="A10" s="18" t="s">
        <v>49</v>
      </c>
      <c r="B10" s="11">
        <v>80</v>
      </c>
    </row>
    <row r="11" spans="1:2" x14ac:dyDescent="0.25">
      <c r="A11" s="17" t="s">
        <v>54</v>
      </c>
      <c r="B11" s="11">
        <v>305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8"/>
  <sheetViews>
    <sheetView workbookViewId="0">
      <selection activeCell="E10" sqref="E10"/>
    </sheetView>
  </sheetViews>
  <sheetFormatPr defaultRowHeight="15" x14ac:dyDescent="0.25"/>
  <cols>
    <col min="1" max="1" width="10.42578125" style="12" bestFit="1" customWidth="1"/>
    <col min="3" max="3" width="13.140625" bestFit="1" customWidth="1"/>
  </cols>
  <sheetData>
    <row r="1" spans="1:4" ht="26.25" x14ac:dyDescent="0.4">
      <c r="A1" s="45" t="s">
        <v>40</v>
      </c>
      <c r="B1" s="45"/>
      <c r="C1" s="45"/>
      <c r="D1" s="45"/>
    </row>
    <row r="2" spans="1:4" x14ac:dyDescent="0.25">
      <c r="A2" s="13" t="s">
        <v>41</v>
      </c>
      <c r="B2" s="14" t="s">
        <v>42</v>
      </c>
      <c r="C2" s="14" t="s">
        <v>43</v>
      </c>
      <c r="D2" s="14" t="s">
        <v>44</v>
      </c>
    </row>
    <row r="3" spans="1:4" x14ac:dyDescent="0.25">
      <c r="A3" s="15" t="s">
        <v>45</v>
      </c>
      <c r="B3" s="5" t="s">
        <v>50</v>
      </c>
      <c r="C3" s="5">
        <v>50</v>
      </c>
      <c r="D3" s="5">
        <v>200</v>
      </c>
    </row>
    <row r="4" spans="1:4" x14ac:dyDescent="0.25">
      <c r="A4" s="15" t="s">
        <v>57</v>
      </c>
      <c r="B4" s="5" t="s">
        <v>51</v>
      </c>
      <c r="C4" s="5">
        <v>20</v>
      </c>
      <c r="D4" s="5">
        <v>150</v>
      </c>
    </row>
    <row r="5" spans="1:4" x14ac:dyDescent="0.25">
      <c r="A5" s="15" t="s">
        <v>46</v>
      </c>
      <c r="B5" s="5" t="s">
        <v>52</v>
      </c>
      <c r="C5" s="5">
        <v>100</v>
      </c>
      <c r="D5" s="5">
        <v>120</v>
      </c>
    </row>
    <row r="6" spans="1:4" x14ac:dyDescent="0.25">
      <c r="A6" s="15" t="s">
        <v>47</v>
      </c>
      <c r="B6" s="5" t="s">
        <v>50</v>
      </c>
      <c r="C6" s="5">
        <v>30</v>
      </c>
      <c r="D6" s="5">
        <v>120</v>
      </c>
    </row>
    <row r="7" spans="1:4" x14ac:dyDescent="0.25">
      <c r="A7" s="15" t="s">
        <v>48</v>
      </c>
      <c r="B7" s="5" t="s">
        <v>51</v>
      </c>
      <c r="C7" s="5">
        <v>25</v>
      </c>
      <c r="D7" s="5">
        <v>180</v>
      </c>
    </row>
    <row r="8" spans="1:4" x14ac:dyDescent="0.25">
      <c r="A8" s="15" t="s">
        <v>49</v>
      </c>
      <c r="B8" s="5" t="s">
        <v>52</v>
      </c>
      <c r="C8" s="5">
        <v>80</v>
      </c>
      <c r="D8" s="5">
        <v>90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6"/>
  <sheetViews>
    <sheetView workbookViewId="0"/>
  </sheetViews>
  <sheetFormatPr defaultRowHeight="15" x14ac:dyDescent="0.25"/>
  <cols>
    <col min="1" max="1" width="13.140625" bestFit="1" customWidth="1"/>
    <col min="2" max="2" width="15.140625" bestFit="1" customWidth="1"/>
  </cols>
  <sheetData>
    <row r="1" spans="1:2" x14ac:dyDescent="0.25">
      <c r="A1" s="16" t="s">
        <v>53</v>
      </c>
      <c r="B1" t="s">
        <v>68</v>
      </c>
    </row>
    <row r="2" spans="1:2" x14ac:dyDescent="0.25">
      <c r="A2" s="17" t="s">
        <v>64</v>
      </c>
      <c r="B2" s="11">
        <v>4050</v>
      </c>
    </row>
    <row r="3" spans="1:2" x14ac:dyDescent="0.25">
      <c r="A3" s="17" t="s">
        <v>60</v>
      </c>
      <c r="B3" s="11">
        <v>11800</v>
      </c>
    </row>
    <row r="4" spans="1:2" x14ac:dyDescent="0.25">
      <c r="A4" s="17" t="s">
        <v>67</v>
      </c>
      <c r="B4" s="11">
        <v>5000</v>
      </c>
    </row>
    <row r="5" spans="1:2" x14ac:dyDescent="0.25">
      <c r="A5" s="17" t="s">
        <v>62</v>
      </c>
      <c r="B5" s="11">
        <v>2600</v>
      </c>
    </row>
    <row r="6" spans="1:2" x14ac:dyDescent="0.25">
      <c r="A6" s="17" t="s">
        <v>54</v>
      </c>
      <c r="B6" s="11">
        <v>23450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64"/>
  <sheetViews>
    <sheetView workbookViewId="0">
      <selection activeCell="H9" sqref="H9"/>
    </sheetView>
  </sheetViews>
  <sheetFormatPr defaultRowHeight="15" x14ac:dyDescent="0.25"/>
  <cols>
    <col min="1" max="1" width="10.7109375" style="10" bestFit="1" customWidth="1"/>
    <col min="2" max="2" width="8.28515625" bestFit="1" customWidth="1"/>
    <col min="3" max="3" width="7.140625" bestFit="1" customWidth="1"/>
    <col min="7" max="7" width="15.140625" style="24" customWidth="1"/>
    <col min="8" max="8" width="18.5703125" style="3" bestFit="1" customWidth="1"/>
    <col min="9" max="9" width="7" style="3" customWidth="1"/>
    <col min="10" max="10" width="8.28515625" style="3" customWidth="1"/>
    <col min="11" max="11" width="7.140625" style="3" customWidth="1"/>
    <col min="12" max="12" width="11.28515625" style="3" customWidth="1"/>
    <col min="13" max="13" width="5.7109375" customWidth="1"/>
    <col min="14" max="14" width="11.85546875" customWidth="1"/>
    <col min="15" max="15" width="10.140625" customWidth="1"/>
    <col min="16" max="16" width="6.140625" customWidth="1"/>
    <col min="17" max="17" width="5.7109375" customWidth="1"/>
    <col min="18" max="18" width="13.28515625" customWidth="1"/>
    <col min="19" max="19" width="9" customWidth="1"/>
    <col min="20" max="21" width="6.140625" customWidth="1"/>
    <col min="22" max="22" width="12" customWidth="1"/>
    <col min="23" max="23" width="11.28515625" customWidth="1"/>
    <col min="24" max="24" width="10.140625" customWidth="1"/>
    <col min="25" max="25" width="13.28515625" customWidth="1"/>
    <col min="26" max="26" width="9" customWidth="1"/>
    <col min="27" max="27" width="12" customWidth="1"/>
    <col min="28" max="28" width="11.28515625" customWidth="1"/>
    <col min="29" max="29" width="14.42578125" customWidth="1"/>
    <col min="30" max="30" width="8.85546875" customWidth="1"/>
    <col min="31" max="31" width="11.85546875" customWidth="1"/>
    <col min="32" max="32" width="10.140625" customWidth="1"/>
    <col min="33" max="33" width="13.28515625" bestFit="1" customWidth="1"/>
    <col min="34" max="34" width="9" customWidth="1"/>
    <col min="35" max="35" width="12" bestFit="1" customWidth="1"/>
    <col min="36" max="36" width="11.28515625" bestFit="1" customWidth="1"/>
    <col min="37" max="37" width="14.42578125" bestFit="1" customWidth="1"/>
    <col min="38" max="38" width="8.85546875" customWidth="1"/>
    <col min="39" max="39" width="11.85546875" bestFit="1" customWidth="1"/>
    <col min="40" max="40" width="10.140625" bestFit="1" customWidth="1"/>
    <col min="41" max="41" width="13.28515625" bestFit="1" customWidth="1"/>
    <col min="42" max="42" width="9" customWidth="1"/>
    <col min="43" max="43" width="12" bestFit="1" customWidth="1"/>
    <col min="44" max="44" width="11.28515625" bestFit="1" customWidth="1"/>
    <col min="45" max="45" width="14.42578125" bestFit="1" customWidth="1"/>
    <col min="46" max="46" width="8.85546875" customWidth="1"/>
    <col min="47" max="47" width="11.85546875" bestFit="1" customWidth="1"/>
    <col min="48" max="48" width="10.140625" bestFit="1" customWidth="1"/>
    <col min="49" max="49" width="13.28515625" bestFit="1" customWidth="1"/>
    <col min="50" max="50" width="9" customWidth="1"/>
    <col min="51" max="51" width="12" bestFit="1" customWidth="1"/>
    <col min="52" max="52" width="11.28515625" bestFit="1" customWidth="1"/>
    <col min="53" max="53" width="14.42578125" bestFit="1" customWidth="1"/>
    <col min="54" max="54" width="8.85546875" customWidth="1"/>
    <col min="55" max="55" width="11.85546875" bestFit="1" customWidth="1"/>
    <col min="56" max="56" width="11.28515625" bestFit="1" customWidth="1"/>
  </cols>
  <sheetData>
    <row r="1" spans="1:12" x14ac:dyDescent="0.25">
      <c r="A1" s="22" t="s">
        <v>41</v>
      </c>
      <c r="B1" s="19" t="s">
        <v>42</v>
      </c>
      <c r="C1" s="19" t="s">
        <v>58</v>
      </c>
      <c r="D1" s="21" t="s">
        <v>59</v>
      </c>
    </row>
    <row r="2" spans="1:12" x14ac:dyDescent="0.25">
      <c r="A2" s="23">
        <v>45662</v>
      </c>
      <c r="B2" s="2" t="s">
        <v>60</v>
      </c>
      <c r="C2" s="2" t="s">
        <v>61</v>
      </c>
      <c r="D2" s="20">
        <v>1200</v>
      </c>
    </row>
    <row r="3" spans="1:12" x14ac:dyDescent="0.25">
      <c r="A3" s="23">
        <v>45675</v>
      </c>
      <c r="B3" s="2" t="s">
        <v>62</v>
      </c>
      <c r="C3" s="2" t="s">
        <v>63</v>
      </c>
      <c r="D3" s="20">
        <v>350</v>
      </c>
      <c r="G3" s="16" t="s">
        <v>68</v>
      </c>
      <c r="H3" s="27" t="s">
        <v>75</v>
      </c>
      <c r="I3"/>
      <c r="J3"/>
      <c r="K3"/>
      <c r="L3"/>
    </row>
    <row r="4" spans="1:12" ht="30" x14ac:dyDescent="0.25">
      <c r="A4" s="23">
        <v>45700</v>
      </c>
      <c r="B4" s="2" t="s">
        <v>64</v>
      </c>
      <c r="C4" s="2" t="s">
        <v>65</v>
      </c>
      <c r="D4" s="20">
        <v>600</v>
      </c>
      <c r="G4" s="25" t="s">
        <v>53</v>
      </c>
      <c r="H4" s="3" t="s">
        <v>64</v>
      </c>
      <c r="I4"/>
      <c r="J4"/>
      <c r="K4"/>
      <c r="L4"/>
    </row>
    <row r="5" spans="1:12" x14ac:dyDescent="0.25">
      <c r="A5" s="23">
        <v>45713</v>
      </c>
      <c r="B5" s="2" t="s">
        <v>60</v>
      </c>
      <c r="C5" s="2" t="s">
        <v>66</v>
      </c>
      <c r="D5" s="20">
        <v>1500</v>
      </c>
      <c r="G5" s="26" t="s">
        <v>69</v>
      </c>
      <c r="H5" s="28"/>
      <c r="I5"/>
      <c r="J5"/>
      <c r="K5"/>
      <c r="L5"/>
    </row>
    <row r="6" spans="1:12" x14ac:dyDescent="0.25">
      <c r="A6" s="23">
        <v>45726</v>
      </c>
      <c r="B6" s="2" t="s">
        <v>67</v>
      </c>
      <c r="C6" s="2" t="s">
        <v>61</v>
      </c>
      <c r="D6" s="20">
        <v>900</v>
      </c>
      <c r="G6" s="18" t="s">
        <v>65</v>
      </c>
      <c r="H6" s="28">
        <v>600</v>
      </c>
      <c r="I6"/>
      <c r="J6"/>
      <c r="K6"/>
      <c r="L6"/>
    </row>
    <row r="7" spans="1:12" x14ac:dyDescent="0.25">
      <c r="A7" s="23">
        <v>45744</v>
      </c>
      <c r="B7" s="2" t="s">
        <v>62</v>
      </c>
      <c r="C7" s="2" t="s">
        <v>65</v>
      </c>
      <c r="D7" s="20">
        <v>450</v>
      </c>
      <c r="G7" s="26" t="s">
        <v>70</v>
      </c>
      <c r="H7" s="28"/>
      <c r="I7"/>
      <c r="J7"/>
      <c r="K7"/>
      <c r="L7"/>
    </row>
    <row r="8" spans="1:12" x14ac:dyDescent="0.25">
      <c r="A8" s="23">
        <v>45754</v>
      </c>
      <c r="B8" s="2" t="s">
        <v>60</v>
      </c>
      <c r="C8" s="2" t="s">
        <v>63</v>
      </c>
      <c r="D8" s="20">
        <v>1700</v>
      </c>
      <c r="G8" s="18" t="s">
        <v>66</v>
      </c>
      <c r="H8" s="28">
        <v>550</v>
      </c>
      <c r="I8"/>
      <c r="J8"/>
      <c r="K8"/>
      <c r="L8"/>
    </row>
    <row r="9" spans="1:12" ht="30" x14ac:dyDescent="0.25">
      <c r="A9" s="23">
        <v>45768</v>
      </c>
      <c r="B9" s="2" t="s">
        <v>64</v>
      </c>
      <c r="C9" s="2" t="s">
        <v>66</v>
      </c>
      <c r="D9" s="20">
        <v>550</v>
      </c>
      <c r="G9" s="26" t="s">
        <v>71</v>
      </c>
      <c r="H9" s="28"/>
      <c r="I9"/>
      <c r="J9"/>
      <c r="K9"/>
      <c r="L9"/>
    </row>
    <row r="10" spans="1:12" x14ac:dyDescent="0.25">
      <c r="A10" s="23">
        <v>45786</v>
      </c>
      <c r="B10" s="2" t="s">
        <v>67</v>
      </c>
      <c r="C10" s="2" t="s">
        <v>65</v>
      </c>
      <c r="D10" s="20">
        <v>1000</v>
      </c>
      <c r="G10" s="18" t="s">
        <v>65</v>
      </c>
      <c r="H10" s="28">
        <v>700</v>
      </c>
      <c r="I10"/>
      <c r="J10"/>
      <c r="K10"/>
      <c r="L10"/>
    </row>
    <row r="11" spans="1:12" x14ac:dyDescent="0.25">
      <c r="A11" s="23">
        <v>45807</v>
      </c>
      <c r="B11" s="2" t="s">
        <v>62</v>
      </c>
      <c r="C11" s="2" t="s">
        <v>61</v>
      </c>
      <c r="D11" s="20">
        <v>400</v>
      </c>
      <c r="G11" s="26" t="s">
        <v>72</v>
      </c>
      <c r="H11" s="28"/>
      <c r="I11"/>
      <c r="J11"/>
      <c r="K11"/>
      <c r="L11"/>
    </row>
    <row r="12" spans="1:12" x14ac:dyDescent="0.25">
      <c r="A12" s="23">
        <v>45822</v>
      </c>
      <c r="B12" s="2" t="s">
        <v>60</v>
      </c>
      <c r="C12" s="2" t="s">
        <v>63</v>
      </c>
      <c r="D12" s="20">
        <v>1800</v>
      </c>
      <c r="G12" s="18" t="s">
        <v>66</v>
      </c>
      <c r="H12" s="28">
        <v>650</v>
      </c>
      <c r="I12"/>
      <c r="J12"/>
      <c r="K12"/>
      <c r="L12"/>
    </row>
    <row r="13" spans="1:12" ht="30" x14ac:dyDescent="0.25">
      <c r="A13" s="23">
        <v>45834</v>
      </c>
      <c r="B13" s="2" t="s">
        <v>64</v>
      </c>
      <c r="C13" s="2" t="s">
        <v>65</v>
      </c>
      <c r="D13" s="20">
        <v>700</v>
      </c>
      <c r="G13" s="26" t="s">
        <v>73</v>
      </c>
      <c r="H13" s="28"/>
      <c r="I13"/>
      <c r="J13"/>
      <c r="K13"/>
      <c r="L13"/>
    </row>
    <row r="14" spans="1:12" x14ac:dyDescent="0.25">
      <c r="A14" s="23">
        <v>45849</v>
      </c>
      <c r="B14" s="2" t="s">
        <v>67</v>
      </c>
      <c r="C14" s="2" t="s">
        <v>66</v>
      </c>
      <c r="D14" s="20">
        <v>950</v>
      </c>
      <c r="G14" s="18" t="s">
        <v>65</v>
      </c>
      <c r="H14" s="28">
        <v>750</v>
      </c>
      <c r="I14"/>
      <c r="J14"/>
      <c r="K14"/>
      <c r="L14"/>
    </row>
    <row r="15" spans="1:12" x14ac:dyDescent="0.25">
      <c r="A15" s="23">
        <v>45862</v>
      </c>
      <c r="B15" s="2" t="s">
        <v>62</v>
      </c>
      <c r="C15" s="2" t="s">
        <v>63</v>
      </c>
      <c r="D15" s="20">
        <v>500</v>
      </c>
      <c r="G15" s="26" t="s">
        <v>74</v>
      </c>
      <c r="H15" s="28"/>
      <c r="I15"/>
      <c r="J15"/>
      <c r="K15"/>
      <c r="L15"/>
    </row>
    <row r="16" spans="1:12" x14ac:dyDescent="0.25">
      <c r="A16" s="23">
        <v>45877</v>
      </c>
      <c r="B16" s="2" t="s">
        <v>60</v>
      </c>
      <c r="C16" s="2" t="s">
        <v>61</v>
      </c>
      <c r="D16" s="20">
        <v>1600</v>
      </c>
      <c r="G16" s="18" t="s">
        <v>65</v>
      </c>
      <c r="H16" s="28">
        <v>800</v>
      </c>
      <c r="I16"/>
      <c r="J16"/>
      <c r="K16"/>
      <c r="L16"/>
    </row>
    <row r="17" spans="1:12" ht="30" x14ac:dyDescent="0.25">
      <c r="A17" s="23">
        <v>45889</v>
      </c>
      <c r="B17" s="2" t="s">
        <v>64</v>
      </c>
      <c r="C17" s="2" t="s">
        <v>66</v>
      </c>
      <c r="D17" s="20">
        <v>650</v>
      </c>
      <c r="G17"/>
      <c r="H17"/>
      <c r="I17"/>
      <c r="J17"/>
      <c r="K17"/>
      <c r="L17"/>
    </row>
    <row r="18" spans="1:12" x14ac:dyDescent="0.25">
      <c r="A18" s="23">
        <v>45903</v>
      </c>
      <c r="B18" s="2" t="s">
        <v>67</v>
      </c>
      <c r="C18" s="2" t="s">
        <v>65</v>
      </c>
      <c r="D18" s="20">
        <v>1100</v>
      </c>
      <c r="G18"/>
      <c r="H18"/>
      <c r="I18"/>
      <c r="J18"/>
      <c r="K18"/>
      <c r="L18"/>
    </row>
    <row r="19" spans="1:12" x14ac:dyDescent="0.25">
      <c r="A19" s="23">
        <v>45917</v>
      </c>
      <c r="B19" s="2" t="s">
        <v>62</v>
      </c>
      <c r="C19" s="2" t="s">
        <v>61</v>
      </c>
      <c r="D19" s="20">
        <v>420</v>
      </c>
      <c r="G19"/>
      <c r="H19"/>
      <c r="I19"/>
      <c r="J19"/>
      <c r="K19"/>
      <c r="L19"/>
    </row>
    <row r="20" spans="1:12" x14ac:dyDescent="0.25">
      <c r="A20" s="23">
        <v>45936</v>
      </c>
      <c r="B20" s="2" t="s">
        <v>60</v>
      </c>
      <c r="C20" s="2" t="s">
        <v>63</v>
      </c>
      <c r="D20" s="20">
        <v>1900</v>
      </c>
      <c r="G20"/>
      <c r="H20"/>
      <c r="I20"/>
      <c r="J20"/>
      <c r="K20"/>
      <c r="L20"/>
    </row>
    <row r="21" spans="1:12" ht="30" x14ac:dyDescent="0.25">
      <c r="A21" s="23">
        <v>45959</v>
      </c>
      <c r="B21" s="2" t="s">
        <v>64</v>
      </c>
      <c r="C21" s="2" t="s">
        <v>65</v>
      </c>
      <c r="D21" s="20">
        <v>750</v>
      </c>
      <c r="G21"/>
      <c r="H21"/>
      <c r="I21"/>
      <c r="J21"/>
      <c r="K21"/>
      <c r="L21"/>
    </row>
    <row r="22" spans="1:12" x14ac:dyDescent="0.25">
      <c r="A22" s="23">
        <v>45974</v>
      </c>
      <c r="B22" s="2" t="s">
        <v>67</v>
      </c>
      <c r="C22" s="2" t="s">
        <v>66</v>
      </c>
      <c r="D22" s="20">
        <v>1050</v>
      </c>
      <c r="G22"/>
      <c r="H22"/>
      <c r="I22"/>
      <c r="J22"/>
      <c r="K22"/>
      <c r="L22"/>
    </row>
    <row r="23" spans="1:12" x14ac:dyDescent="0.25">
      <c r="A23" s="23">
        <v>45988</v>
      </c>
      <c r="B23" s="2" t="s">
        <v>62</v>
      </c>
      <c r="C23" s="2" t="s">
        <v>63</v>
      </c>
      <c r="D23" s="20">
        <v>480</v>
      </c>
      <c r="G23"/>
      <c r="H23"/>
      <c r="I23"/>
      <c r="J23"/>
      <c r="K23"/>
      <c r="L23"/>
    </row>
    <row r="24" spans="1:12" x14ac:dyDescent="0.25">
      <c r="A24" s="23">
        <v>46001</v>
      </c>
      <c r="B24" s="2" t="s">
        <v>60</v>
      </c>
      <c r="C24" s="2" t="s">
        <v>61</v>
      </c>
      <c r="D24" s="20">
        <v>2100</v>
      </c>
      <c r="G24"/>
      <c r="H24"/>
      <c r="I24"/>
      <c r="J24"/>
      <c r="K24"/>
      <c r="L24"/>
    </row>
    <row r="25" spans="1:12" ht="30" x14ac:dyDescent="0.25">
      <c r="A25" s="23">
        <v>46013</v>
      </c>
      <c r="B25" s="2" t="s">
        <v>64</v>
      </c>
      <c r="C25" s="2" t="s">
        <v>65</v>
      </c>
      <c r="D25" s="20">
        <v>800</v>
      </c>
      <c r="G25"/>
      <c r="H25"/>
      <c r="I25"/>
      <c r="J25"/>
      <c r="K25"/>
      <c r="L25"/>
    </row>
    <row r="26" spans="1:12" x14ac:dyDescent="0.25">
      <c r="G26"/>
      <c r="H26"/>
      <c r="I26"/>
      <c r="J26"/>
      <c r="K26"/>
      <c r="L26"/>
    </row>
    <row r="27" spans="1:12" x14ac:dyDescent="0.25">
      <c r="G27"/>
      <c r="H27"/>
      <c r="I27"/>
      <c r="J27"/>
      <c r="K27"/>
      <c r="L27"/>
    </row>
    <row r="28" spans="1:12" x14ac:dyDescent="0.25">
      <c r="G28"/>
      <c r="H28"/>
      <c r="I28"/>
      <c r="J28"/>
      <c r="K28"/>
      <c r="L28"/>
    </row>
    <row r="29" spans="1:12" x14ac:dyDescent="0.25">
      <c r="G29"/>
      <c r="H29"/>
      <c r="I29"/>
      <c r="J29"/>
      <c r="K29"/>
      <c r="L29"/>
    </row>
    <row r="30" spans="1:12" x14ac:dyDescent="0.25">
      <c r="G30"/>
      <c r="H30"/>
      <c r="I30"/>
      <c r="J30"/>
      <c r="K30"/>
      <c r="L30"/>
    </row>
    <row r="31" spans="1:12" x14ac:dyDescent="0.25">
      <c r="G31"/>
      <c r="H31"/>
      <c r="I31"/>
      <c r="J31"/>
      <c r="K31"/>
      <c r="L31"/>
    </row>
    <row r="32" spans="1:12" x14ac:dyDescent="0.25">
      <c r="G32"/>
      <c r="H32"/>
      <c r="I32"/>
      <c r="J32"/>
      <c r="K32"/>
      <c r="L32"/>
    </row>
    <row r="33" spans="7:12" x14ac:dyDescent="0.25">
      <c r="G33"/>
      <c r="H33"/>
      <c r="I33"/>
      <c r="J33"/>
      <c r="K33"/>
      <c r="L33"/>
    </row>
    <row r="34" spans="7:12" x14ac:dyDescent="0.25">
      <c r="G34"/>
      <c r="H34"/>
      <c r="I34"/>
      <c r="J34"/>
      <c r="K34"/>
      <c r="L34"/>
    </row>
    <row r="35" spans="7:12" x14ac:dyDescent="0.25">
      <c r="G35"/>
      <c r="H35"/>
      <c r="I35"/>
      <c r="J35"/>
      <c r="K35"/>
      <c r="L35"/>
    </row>
    <row r="36" spans="7:12" x14ac:dyDescent="0.25">
      <c r="G36"/>
      <c r="H36"/>
      <c r="I36"/>
      <c r="J36"/>
      <c r="K36"/>
      <c r="L36"/>
    </row>
    <row r="37" spans="7:12" x14ac:dyDescent="0.25">
      <c r="G37"/>
      <c r="H37"/>
      <c r="I37"/>
      <c r="J37"/>
      <c r="K37"/>
      <c r="L37"/>
    </row>
    <row r="38" spans="7:12" x14ac:dyDescent="0.25">
      <c r="G38"/>
      <c r="H38"/>
      <c r="I38"/>
      <c r="J38"/>
      <c r="K38"/>
      <c r="L38"/>
    </row>
    <row r="39" spans="7:12" x14ac:dyDescent="0.25">
      <c r="G39"/>
      <c r="H39"/>
      <c r="I39"/>
      <c r="J39"/>
      <c r="K39"/>
      <c r="L39"/>
    </row>
    <row r="40" spans="7:12" x14ac:dyDescent="0.25">
      <c r="G40"/>
      <c r="H40"/>
      <c r="I40"/>
      <c r="J40"/>
      <c r="K40"/>
      <c r="L40"/>
    </row>
    <row r="41" spans="7:12" x14ac:dyDescent="0.25">
      <c r="G41"/>
      <c r="H41"/>
      <c r="I41"/>
      <c r="J41"/>
      <c r="K41"/>
      <c r="L41"/>
    </row>
    <row r="42" spans="7:12" x14ac:dyDescent="0.25">
      <c r="G42"/>
    </row>
    <row r="43" spans="7:12" x14ac:dyDescent="0.25">
      <c r="G43"/>
    </row>
    <row r="44" spans="7:12" x14ac:dyDescent="0.25">
      <c r="G44"/>
    </row>
    <row r="45" spans="7:12" x14ac:dyDescent="0.25">
      <c r="G45"/>
    </row>
    <row r="46" spans="7:12" x14ac:dyDescent="0.25">
      <c r="G46"/>
    </row>
    <row r="47" spans="7:12" x14ac:dyDescent="0.25">
      <c r="G47"/>
    </row>
    <row r="48" spans="7:12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8"/>
  <sheetViews>
    <sheetView workbookViewId="0">
      <selection activeCell="F12" sqref="F12"/>
    </sheetView>
  </sheetViews>
  <sheetFormatPr defaultRowHeight="15" x14ac:dyDescent="0.25"/>
  <cols>
    <col min="1" max="1" width="17.28515625" customWidth="1"/>
    <col min="2" max="2" width="17.85546875" customWidth="1"/>
  </cols>
  <sheetData>
    <row r="1" spans="1:2" ht="30" x14ac:dyDescent="0.25">
      <c r="A1" s="29" t="s">
        <v>30</v>
      </c>
      <c r="B1" s="30" t="s">
        <v>76</v>
      </c>
    </row>
    <row r="2" spans="1:2" x14ac:dyDescent="0.25">
      <c r="A2" s="29" t="s">
        <v>33</v>
      </c>
      <c r="B2" s="29">
        <v>500</v>
      </c>
    </row>
    <row r="3" spans="1:2" x14ac:dyDescent="0.25">
      <c r="A3" s="29" t="s">
        <v>77</v>
      </c>
      <c r="B3" s="29">
        <v>800</v>
      </c>
    </row>
    <row r="4" spans="1:2" x14ac:dyDescent="0.25">
      <c r="A4" s="29" t="s">
        <v>32</v>
      </c>
      <c r="B4" s="29">
        <v>2000</v>
      </c>
    </row>
    <row r="5" spans="1:2" x14ac:dyDescent="0.25">
      <c r="A5" s="29" t="s">
        <v>78</v>
      </c>
      <c r="B5" s="29">
        <v>1500</v>
      </c>
    </row>
    <row r="6" spans="1:2" x14ac:dyDescent="0.25">
      <c r="A6" s="29" t="s">
        <v>79</v>
      </c>
      <c r="B6" s="29">
        <v>600</v>
      </c>
    </row>
    <row r="7" spans="1:2" x14ac:dyDescent="0.25">
      <c r="A7" s="29" t="s">
        <v>34</v>
      </c>
      <c r="B7" s="29">
        <v>700</v>
      </c>
    </row>
    <row r="8" spans="1:2" x14ac:dyDescent="0.25">
      <c r="A8" s="29" t="s">
        <v>80</v>
      </c>
      <c r="B8" s="29">
        <v>400</v>
      </c>
    </row>
  </sheetData>
  <conditionalFormatting sqref="B2:B8">
    <cfRule type="cellIs" dxfId="1" priority="1" operator="greaterThan">
      <formula>600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 filterMode="1"/>
  <dimension ref="A1:H38"/>
  <sheetViews>
    <sheetView workbookViewId="0">
      <selection activeCell="H1" sqref="H1"/>
    </sheetView>
  </sheetViews>
  <sheetFormatPr defaultRowHeight="15" x14ac:dyDescent="0.25"/>
  <cols>
    <col min="1" max="1" width="10.28515625" customWidth="1"/>
    <col min="2" max="2" width="13" customWidth="1"/>
    <col min="3" max="3" width="12.42578125" customWidth="1"/>
    <col min="4" max="4" width="12" customWidth="1"/>
    <col min="5" max="5" width="12.85546875" customWidth="1"/>
    <col min="6" max="6" width="14.7109375" customWidth="1"/>
    <col min="7" max="7" width="10.7109375" customWidth="1"/>
    <col min="8" max="8" width="13.7109375" customWidth="1"/>
  </cols>
  <sheetData>
    <row r="1" spans="1:8" ht="30" x14ac:dyDescent="0.25">
      <c r="A1" s="31" t="s">
        <v>81</v>
      </c>
      <c r="B1" s="31" t="s">
        <v>41</v>
      </c>
      <c r="C1" s="31" t="s">
        <v>82</v>
      </c>
      <c r="D1" s="31" t="s">
        <v>83</v>
      </c>
      <c r="E1" s="31" t="s">
        <v>42</v>
      </c>
      <c r="F1" s="31" t="s">
        <v>30</v>
      </c>
      <c r="G1" s="31" t="s">
        <v>58</v>
      </c>
      <c r="H1" s="32" t="s">
        <v>59</v>
      </c>
    </row>
    <row r="2" spans="1:8" x14ac:dyDescent="0.25">
      <c r="A2" s="33" t="s">
        <v>84</v>
      </c>
      <c r="B2" s="34">
        <v>45659</v>
      </c>
      <c r="C2" s="33" t="s">
        <v>85</v>
      </c>
      <c r="D2" s="33" t="s">
        <v>86</v>
      </c>
      <c r="E2" s="33" t="s">
        <v>60</v>
      </c>
      <c r="F2" s="33" t="s">
        <v>87</v>
      </c>
      <c r="G2" s="33" t="s">
        <v>61</v>
      </c>
      <c r="H2" s="35">
        <v>1200</v>
      </c>
    </row>
    <row r="3" spans="1:8" x14ac:dyDescent="0.25">
      <c r="A3" s="33" t="s">
        <v>88</v>
      </c>
      <c r="B3" s="34">
        <v>45660</v>
      </c>
      <c r="C3" s="33" t="s">
        <v>89</v>
      </c>
      <c r="D3" s="33" t="s">
        <v>90</v>
      </c>
      <c r="E3" s="33" t="s">
        <v>62</v>
      </c>
      <c r="F3" s="33" t="s">
        <v>87</v>
      </c>
      <c r="G3" s="33" t="s">
        <v>63</v>
      </c>
      <c r="H3" s="35">
        <v>25</v>
      </c>
    </row>
    <row r="4" spans="1:8" x14ac:dyDescent="0.25">
      <c r="A4" s="33" t="s">
        <v>91</v>
      </c>
      <c r="B4" s="34">
        <v>45661</v>
      </c>
      <c r="C4" s="33" t="s">
        <v>92</v>
      </c>
      <c r="D4" s="33" t="s">
        <v>93</v>
      </c>
      <c r="E4" s="33" t="s">
        <v>64</v>
      </c>
      <c r="F4" s="33" t="s">
        <v>87</v>
      </c>
      <c r="G4" s="33" t="s">
        <v>65</v>
      </c>
      <c r="H4" s="35">
        <v>45</v>
      </c>
    </row>
    <row r="5" spans="1:8" x14ac:dyDescent="0.25">
      <c r="A5" s="33" t="s">
        <v>94</v>
      </c>
      <c r="B5" s="34">
        <v>45662</v>
      </c>
      <c r="C5" s="33" t="s">
        <v>95</v>
      </c>
      <c r="D5" s="33" t="s">
        <v>96</v>
      </c>
      <c r="E5" s="33" t="s">
        <v>67</v>
      </c>
      <c r="F5" s="33" t="s">
        <v>87</v>
      </c>
      <c r="G5" s="33" t="s">
        <v>66</v>
      </c>
      <c r="H5" s="35">
        <v>180</v>
      </c>
    </row>
    <row r="6" spans="1:8" x14ac:dyDescent="0.25">
      <c r="A6" s="33" t="s">
        <v>97</v>
      </c>
      <c r="B6" s="34">
        <v>45663</v>
      </c>
      <c r="C6" s="33" t="s">
        <v>98</v>
      </c>
      <c r="D6" s="33" t="s">
        <v>99</v>
      </c>
      <c r="E6" s="33" t="s">
        <v>60</v>
      </c>
      <c r="F6" s="33" t="s">
        <v>87</v>
      </c>
      <c r="G6" s="33" t="s">
        <v>61</v>
      </c>
      <c r="H6" s="35">
        <v>1300</v>
      </c>
    </row>
    <row r="7" spans="1:8" x14ac:dyDescent="0.25">
      <c r="A7" s="33" t="s">
        <v>100</v>
      </c>
      <c r="B7" s="34">
        <v>45664</v>
      </c>
      <c r="C7" s="33" t="s">
        <v>101</v>
      </c>
      <c r="D7" s="33" t="s">
        <v>102</v>
      </c>
      <c r="E7" s="33" t="s">
        <v>103</v>
      </c>
      <c r="F7" s="33" t="s">
        <v>104</v>
      </c>
      <c r="G7" s="33" t="s">
        <v>63</v>
      </c>
      <c r="H7" s="35">
        <v>220</v>
      </c>
    </row>
    <row r="8" spans="1:8" x14ac:dyDescent="0.25">
      <c r="A8" s="33" t="s">
        <v>105</v>
      </c>
      <c r="B8" s="34">
        <v>45665</v>
      </c>
      <c r="C8" s="33" t="s">
        <v>106</v>
      </c>
      <c r="D8" s="33" t="s">
        <v>107</v>
      </c>
      <c r="E8" s="33" t="s">
        <v>108</v>
      </c>
      <c r="F8" s="33" t="s">
        <v>104</v>
      </c>
      <c r="G8" s="33" t="s">
        <v>65</v>
      </c>
      <c r="H8" s="35">
        <v>320</v>
      </c>
    </row>
    <row r="9" spans="1:8" x14ac:dyDescent="0.25">
      <c r="A9" s="33" t="s">
        <v>109</v>
      </c>
      <c r="B9" s="34">
        <v>45666</v>
      </c>
      <c r="C9" s="33" t="s">
        <v>110</v>
      </c>
      <c r="D9" s="33" t="s">
        <v>111</v>
      </c>
      <c r="E9" s="33" t="s">
        <v>62</v>
      </c>
      <c r="F9" s="33" t="s">
        <v>87</v>
      </c>
      <c r="G9" s="33" t="s">
        <v>66</v>
      </c>
      <c r="H9" s="35">
        <v>30</v>
      </c>
    </row>
    <row r="10" spans="1:8" x14ac:dyDescent="0.25">
      <c r="A10" s="33" t="s">
        <v>112</v>
      </c>
      <c r="B10" s="34">
        <v>45668</v>
      </c>
      <c r="C10" s="33" t="s">
        <v>113</v>
      </c>
      <c r="D10" s="33" t="s">
        <v>114</v>
      </c>
      <c r="E10" s="33" t="s">
        <v>115</v>
      </c>
      <c r="F10" s="33" t="s">
        <v>87</v>
      </c>
      <c r="G10" s="33" t="s">
        <v>61</v>
      </c>
      <c r="H10" s="35">
        <v>250</v>
      </c>
    </row>
    <row r="11" spans="1:8" x14ac:dyDescent="0.25">
      <c r="A11" s="33" t="s">
        <v>116</v>
      </c>
      <c r="B11" s="34">
        <v>45669</v>
      </c>
      <c r="C11" s="33" t="s">
        <v>117</v>
      </c>
      <c r="D11" s="33" t="s">
        <v>118</v>
      </c>
      <c r="E11" s="33" t="s">
        <v>60</v>
      </c>
      <c r="F11" s="33" t="s">
        <v>87</v>
      </c>
      <c r="G11" s="33" t="s">
        <v>63</v>
      </c>
      <c r="H11" s="35">
        <v>1400</v>
      </c>
    </row>
    <row r="12" spans="1:8" ht="30" x14ac:dyDescent="0.25">
      <c r="A12" s="33" t="s">
        <v>119</v>
      </c>
      <c r="B12" s="34">
        <v>45670</v>
      </c>
      <c r="C12" s="33" t="s">
        <v>120</v>
      </c>
      <c r="D12" s="33" t="s">
        <v>121</v>
      </c>
      <c r="E12" s="33" t="s">
        <v>64</v>
      </c>
      <c r="F12" s="33" t="s">
        <v>87</v>
      </c>
      <c r="G12" s="33" t="s">
        <v>65</v>
      </c>
      <c r="H12" s="35">
        <v>55</v>
      </c>
    </row>
    <row r="13" spans="1:8" x14ac:dyDescent="0.25">
      <c r="A13" s="33" t="s">
        <v>122</v>
      </c>
      <c r="B13" s="34">
        <v>45671</v>
      </c>
      <c r="C13" s="33" t="s">
        <v>123</v>
      </c>
      <c r="D13" s="33" t="s">
        <v>124</v>
      </c>
      <c r="E13" s="33" t="s">
        <v>103</v>
      </c>
      <c r="F13" s="33" t="s">
        <v>104</v>
      </c>
      <c r="G13" s="33" t="s">
        <v>66</v>
      </c>
      <c r="H13" s="35">
        <v>240</v>
      </c>
    </row>
    <row r="14" spans="1:8" x14ac:dyDescent="0.25">
      <c r="A14" s="33" t="s">
        <v>125</v>
      </c>
      <c r="B14" s="34">
        <v>45672</v>
      </c>
      <c r="C14" s="33" t="s">
        <v>126</v>
      </c>
      <c r="D14" s="33" t="s">
        <v>127</v>
      </c>
      <c r="E14" s="33" t="s">
        <v>67</v>
      </c>
      <c r="F14" s="33" t="s">
        <v>87</v>
      </c>
      <c r="G14" s="33" t="s">
        <v>61</v>
      </c>
      <c r="H14" s="35">
        <v>190</v>
      </c>
    </row>
    <row r="15" spans="1:8" x14ac:dyDescent="0.25">
      <c r="A15" s="33" t="s">
        <v>128</v>
      </c>
      <c r="B15" s="34">
        <v>45673</v>
      </c>
      <c r="C15" s="33" t="s">
        <v>129</v>
      </c>
      <c r="D15" s="33" t="s">
        <v>130</v>
      </c>
      <c r="E15" s="33" t="s">
        <v>108</v>
      </c>
      <c r="F15" s="33" t="s">
        <v>104</v>
      </c>
      <c r="G15" s="33" t="s">
        <v>63</v>
      </c>
      <c r="H15" s="35">
        <v>350</v>
      </c>
    </row>
    <row r="16" spans="1:8" x14ac:dyDescent="0.25">
      <c r="A16" s="33" t="s">
        <v>131</v>
      </c>
      <c r="B16" s="34">
        <v>45674</v>
      </c>
      <c r="C16" s="33" t="s">
        <v>132</v>
      </c>
      <c r="D16" s="33" t="s">
        <v>133</v>
      </c>
      <c r="E16" s="33" t="s">
        <v>60</v>
      </c>
      <c r="F16" s="33" t="s">
        <v>87</v>
      </c>
      <c r="G16" s="33" t="s">
        <v>65</v>
      </c>
      <c r="H16" s="35">
        <v>1500</v>
      </c>
    </row>
    <row r="17" spans="1:8" x14ac:dyDescent="0.25">
      <c r="A17" s="33" t="s">
        <v>134</v>
      </c>
      <c r="B17" s="34">
        <v>45675</v>
      </c>
      <c r="C17" s="33" t="s">
        <v>135</v>
      </c>
      <c r="D17" s="33" t="s">
        <v>136</v>
      </c>
      <c r="E17" s="33" t="s">
        <v>62</v>
      </c>
      <c r="F17" s="33" t="s">
        <v>87</v>
      </c>
      <c r="G17" s="33" t="s">
        <v>66</v>
      </c>
      <c r="H17" s="35">
        <v>28</v>
      </c>
    </row>
    <row r="18" spans="1:8" x14ac:dyDescent="0.25">
      <c r="A18" s="33" t="s">
        <v>137</v>
      </c>
      <c r="B18" s="34">
        <v>45676</v>
      </c>
      <c r="C18" s="33" t="s">
        <v>138</v>
      </c>
      <c r="D18" s="33" t="s">
        <v>86</v>
      </c>
      <c r="E18" s="33" t="s">
        <v>60</v>
      </c>
      <c r="F18" s="33" t="s">
        <v>87</v>
      </c>
      <c r="G18" s="33" t="s">
        <v>61</v>
      </c>
      <c r="H18" s="35">
        <v>1200</v>
      </c>
    </row>
    <row r="19" spans="1:8" x14ac:dyDescent="0.25">
      <c r="A19" s="33" t="s">
        <v>139</v>
      </c>
      <c r="B19" s="34">
        <v>45677</v>
      </c>
      <c r="C19" s="33" t="s">
        <v>140</v>
      </c>
      <c r="D19" s="33" t="s">
        <v>141</v>
      </c>
      <c r="E19" s="33" t="s">
        <v>62</v>
      </c>
      <c r="F19" s="33" t="s">
        <v>87</v>
      </c>
      <c r="G19" s="33" t="s">
        <v>63</v>
      </c>
      <c r="H19" s="35">
        <v>25</v>
      </c>
    </row>
    <row r="20" spans="1:8" x14ac:dyDescent="0.25">
      <c r="A20" s="33" t="s">
        <v>142</v>
      </c>
      <c r="B20" s="34">
        <v>45678</v>
      </c>
      <c r="C20" s="33" t="s">
        <v>143</v>
      </c>
      <c r="D20" s="33" t="s">
        <v>93</v>
      </c>
      <c r="E20" s="33" t="s">
        <v>64</v>
      </c>
      <c r="F20" s="33" t="s">
        <v>87</v>
      </c>
      <c r="G20" s="33" t="s">
        <v>65</v>
      </c>
      <c r="H20" s="35"/>
    </row>
    <row r="21" spans="1:8" x14ac:dyDescent="0.25">
      <c r="A21" s="33" t="s">
        <v>144</v>
      </c>
      <c r="B21" s="34">
        <v>45679</v>
      </c>
      <c r="C21" s="33" t="s">
        <v>145</v>
      </c>
      <c r="D21" s="33" t="s">
        <v>96</v>
      </c>
      <c r="E21" s="33" t="s">
        <v>67</v>
      </c>
      <c r="F21" s="33" t="s">
        <v>87</v>
      </c>
      <c r="G21" s="33" t="s">
        <v>146</v>
      </c>
      <c r="H21" s="35">
        <v>180</v>
      </c>
    </row>
    <row r="22" spans="1:8" x14ac:dyDescent="0.25">
      <c r="A22" s="33" t="s">
        <v>147</v>
      </c>
      <c r="B22" s="34">
        <v>45680</v>
      </c>
      <c r="C22" s="33" t="s">
        <v>148</v>
      </c>
      <c r="D22" s="33" t="s">
        <v>99</v>
      </c>
      <c r="E22" s="33" t="s">
        <v>60</v>
      </c>
      <c r="F22" s="33" t="s">
        <v>87</v>
      </c>
      <c r="G22" s="33" t="s">
        <v>61</v>
      </c>
      <c r="H22" s="35">
        <v>1300</v>
      </c>
    </row>
    <row r="23" spans="1:8" x14ac:dyDescent="0.25">
      <c r="A23" s="33" t="s">
        <v>149</v>
      </c>
      <c r="B23" s="34">
        <v>45681</v>
      </c>
      <c r="C23" s="33" t="s">
        <v>150</v>
      </c>
      <c r="D23" s="33" t="s">
        <v>102</v>
      </c>
      <c r="E23" s="33" t="s">
        <v>103</v>
      </c>
      <c r="F23" s="33" t="s">
        <v>104</v>
      </c>
      <c r="G23" s="33" t="s">
        <v>63</v>
      </c>
      <c r="H23" s="35">
        <v>220</v>
      </c>
    </row>
    <row r="24" spans="1:8" x14ac:dyDescent="0.25">
      <c r="A24" s="33" t="s">
        <v>151</v>
      </c>
      <c r="B24" s="34">
        <v>45682</v>
      </c>
      <c r="C24" s="33" t="s">
        <v>152</v>
      </c>
      <c r="D24" s="33" t="s">
        <v>107</v>
      </c>
      <c r="E24" s="33" t="s">
        <v>108</v>
      </c>
      <c r="F24" s="33" t="s">
        <v>104</v>
      </c>
      <c r="G24" s="33" t="s">
        <v>65</v>
      </c>
      <c r="H24" s="35">
        <v>320</v>
      </c>
    </row>
    <row r="25" spans="1:8" x14ac:dyDescent="0.25">
      <c r="A25" s="33" t="s">
        <v>153</v>
      </c>
      <c r="B25" s="34">
        <v>45683</v>
      </c>
      <c r="C25" s="33" t="s">
        <v>154</v>
      </c>
      <c r="D25" s="33" t="s">
        <v>111</v>
      </c>
      <c r="E25" s="33" t="s">
        <v>62</v>
      </c>
      <c r="F25" s="33" t="s">
        <v>87</v>
      </c>
      <c r="G25" s="33" t="s">
        <v>66</v>
      </c>
      <c r="H25" s="35">
        <v>30</v>
      </c>
    </row>
    <row r="26" spans="1:8" x14ac:dyDescent="0.25">
      <c r="A26" s="33" t="s">
        <v>155</v>
      </c>
      <c r="B26" s="33" t="s">
        <v>156</v>
      </c>
      <c r="C26" s="33" t="s">
        <v>157</v>
      </c>
      <c r="D26" s="33" t="s">
        <v>114</v>
      </c>
      <c r="E26" s="33" t="s">
        <v>115</v>
      </c>
      <c r="F26" s="33" t="s">
        <v>87</v>
      </c>
      <c r="G26" s="33" t="s">
        <v>61</v>
      </c>
      <c r="H26" s="35">
        <v>250</v>
      </c>
    </row>
    <row r="27" spans="1:8" x14ac:dyDescent="0.25">
      <c r="A27" s="33" t="s">
        <v>158</v>
      </c>
      <c r="B27" s="33" t="s">
        <v>159</v>
      </c>
      <c r="C27" s="33" t="s">
        <v>160</v>
      </c>
      <c r="D27" s="33" t="s">
        <v>118</v>
      </c>
      <c r="E27" s="33" t="s">
        <v>60</v>
      </c>
      <c r="F27" s="33" t="s">
        <v>87</v>
      </c>
      <c r="G27" s="33" t="s">
        <v>63</v>
      </c>
      <c r="H27" s="35">
        <v>1400</v>
      </c>
    </row>
    <row r="28" spans="1:8" ht="30" x14ac:dyDescent="0.25">
      <c r="A28" s="33" t="s">
        <v>161</v>
      </c>
      <c r="B28" s="34">
        <v>45686</v>
      </c>
      <c r="C28" s="33" t="s">
        <v>162</v>
      </c>
      <c r="D28" s="33" t="s">
        <v>121</v>
      </c>
      <c r="E28" s="33" t="s">
        <v>64</v>
      </c>
      <c r="F28" s="33" t="s">
        <v>87</v>
      </c>
      <c r="G28" s="33" t="s">
        <v>65</v>
      </c>
      <c r="H28" s="35">
        <v>55</v>
      </c>
    </row>
    <row r="29" spans="1:8" x14ac:dyDescent="0.25">
      <c r="A29" s="33" t="s">
        <v>163</v>
      </c>
      <c r="B29" s="34">
        <v>45687</v>
      </c>
      <c r="C29" s="33" t="s">
        <v>164</v>
      </c>
      <c r="D29" s="33" t="s">
        <v>124</v>
      </c>
      <c r="E29" s="33" t="s">
        <v>103</v>
      </c>
      <c r="F29" s="33" t="s">
        <v>104</v>
      </c>
      <c r="G29" s="33" t="s">
        <v>66</v>
      </c>
      <c r="H29" s="35">
        <v>240</v>
      </c>
    </row>
    <row r="30" spans="1:8" x14ac:dyDescent="0.25">
      <c r="A30" s="33" t="s">
        <v>165</v>
      </c>
      <c r="B30" s="34">
        <v>45688</v>
      </c>
      <c r="C30" s="33" t="s">
        <v>166</v>
      </c>
      <c r="D30" s="33" t="s">
        <v>127</v>
      </c>
      <c r="E30" s="33" t="s">
        <v>67</v>
      </c>
      <c r="F30" s="33" t="s">
        <v>87</v>
      </c>
      <c r="G30" s="33" t="s">
        <v>66</v>
      </c>
      <c r="H30" s="35">
        <v>190</v>
      </c>
    </row>
    <row r="31" spans="1:8" x14ac:dyDescent="0.25">
      <c r="A31" s="33" t="s">
        <v>167</v>
      </c>
      <c r="B31" s="34">
        <v>45689</v>
      </c>
      <c r="C31" s="33" t="s">
        <v>168</v>
      </c>
      <c r="D31" s="33" t="s">
        <v>130</v>
      </c>
      <c r="E31" s="33" t="s">
        <v>108</v>
      </c>
      <c r="F31" s="33" t="s">
        <v>104</v>
      </c>
      <c r="G31" s="33" t="s">
        <v>63</v>
      </c>
      <c r="H31" s="35">
        <v>350</v>
      </c>
    </row>
    <row r="32" spans="1:8" x14ac:dyDescent="0.25">
      <c r="A32" s="33" t="s">
        <v>169</v>
      </c>
      <c r="B32" s="34">
        <v>45690</v>
      </c>
      <c r="C32" s="33" t="s">
        <v>170</v>
      </c>
      <c r="D32" s="33" t="s">
        <v>133</v>
      </c>
      <c r="E32" s="33" t="s">
        <v>60</v>
      </c>
      <c r="F32" s="33" t="s">
        <v>87</v>
      </c>
      <c r="G32" s="33" t="s">
        <v>65</v>
      </c>
      <c r="H32" s="35">
        <v>1500</v>
      </c>
    </row>
    <row r="33" spans="1:8" x14ac:dyDescent="0.25">
      <c r="A33" s="33" t="s">
        <v>171</v>
      </c>
      <c r="B33" s="34">
        <v>45691</v>
      </c>
      <c r="C33" s="33" t="s">
        <v>172</v>
      </c>
      <c r="D33" s="33" t="s">
        <v>136</v>
      </c>
      <c r="E33" s="33" t="s">
        <v>62</v>
      </c>
      <c r="F33" s="33" t="s">
        <v>87</v>
      </c>
      <c r="G33" s="33" t="s">
        <v>66</v>
      </c>
      <c r="H33" s="35">
        <v>28</v>
      </c>
    </row>
    <row r="34" spans="1:8" hidden="1" x14ac:dyDescent="0.25">
      <c r="A34" s="33" t="s">
        <v>173</v>
      </c>
      <c r="B34" s="34">
        <v>45692</v>
      </c>
      <c r="C34" s="33"/>
      <c r="D34" s="33" t="s">
        <v>174</v>
      </c>
      <c r="E34" s="33" t="s">
        <v>60</v>
      </c>
      <c r="F34" s="33" t="s">
        <v>87</v>
      </c>
      <c r="G34" s="33" t="s">
        <v>61</v>
      </c>
      <c r="H34" s="35">
        <v>1600</v>
      </c>
    </row>
    <row r="35" spans="1:8" x14ac:dyDescent="0.25">
      <c r="A35" s="33" t="s">
        <v>175</v>
      </c>
      <c r="B35" s="34">
        <v>45693</v>
      </c>
      <c r="C35" s="33" t="s">
        <v>176</v>
      </c>
      <c r="D35" s="33"/>
      <c r="E35" s="33" t="s">
        <v>67</v>
      </c>
      <c r="F35" s="33" t="s">
        <v>87</v>
      </c>
      <c r="G35" s="33" t="s">
        <v>63</v>
      </c>
      <c r="H35" s="35">
        <v>210</v>
      </c>
    </row>
    <row r="36" spans="1:8" hidden="1" x14ac:dyDescent="0.25">
      <c r="A36" s="33" t="s">
        <v>177</v>
      </c>
      <c r="B36" s="34">
        <v>45694</v>
      </c>
      <c r="C36" s="33" t="s">
        <v>178</v>
      </c>
      <c r="D36" s="33" t="s">
        <v>179</v>
      </c>
      <c r="E36" s="33"/>
      <c r="F36" s="33" t="s">
        <v>87</v>
      </c>
      <c r="G36" s="33" t="s">
        <v>65</v>
      </c>
      <c r="H36" s="35">
        <v>90</v>
      </c>
    </row>
    <row r="37" spans="1:8" x14ac:dyDescent="0.25">
      <c r="A37" s="33" t="s">
        <v>180</v>
      </c>
      <c r="B37" s="34">
        <v>45695</v>
      </c>
      <c r="C37" s="33" t="s">
        <v>181</v>
      </c>
      <c r="D37" s="33" t="s">
        <v>182</v>
      </c>
      <c r="E37" s="33" t="s">
        <v>103</v>
      </c>
      <c r="F37" s="33" t="s">
        <v>104</v>
      </c>
      <c r="G37" s="33"/>
      <c r="H37" s="35">
        <v>260</v>
      </c>
    </row>
    <row r="38" spans="1:8" x14ac:dyDescent="0.25">
      <c r="A38" s="33" t="s">
        <v>183</v>
      </c>
      <c r="B38" s="34">
        <v>45696</v>
      </c>
      <c r="C38" s="33" t="s">
        <v>184</v>
      </c>
      <c r="D38" s="33" t="s">
        <v>86</v>
      </c>
      <c r="E38" s="33" t="s">
        <v>60</v>
      </c>
      <c r="F38" s="33" t="s">
        <v>87</v>
      </c>
      <c r="G38" s="33" t="s">
        <v>61</v>
      </c>
      <c r="H38" s="35">
        <v>1200</v>
      </c>
    </row>
  </sheetData>
  <autoFilter ref="A1:H38">
    <filterColumn colId="2">
      <customFilters>
        <customFilter val="**"/>
      </customFilters>
    </filterColumn>
    <filterColumn colId="4">
      <customFilters>
        <customFilter val="**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6"/>
  <sheetViews>
    <sheetView workbookViewId="0">
      <selection activeCell="A9" sqref="A9"/>
    </sheetView>
  </sheetViews>
  <sheetFormatPr defaultRowHeight="15" x14ac:dyDescent="0.25"/>
  <cols>
    <col min="1" max="1" width="19.140625" bestFit="1" customWidth="1"/>
    <col min="2" max="2" width="13.7109375" bestFit="1" customWidth="1"/>
    <col min="3" max="3" width="22.42578125" bestFit="1" customWidth="1"/>
  </cols>
  <sheetData>
    <row r="1" spans="1:3" ht="21" x14ac:dyDescent="0.35">
      <c r="A1" s="36" t="s">
        <v>185</v>
      </c>
      <c r="B1" s="36" t="s">
        <v>186</v>
      </c>
      <c r="C1" s="36" t="s">
        <v>187</v>
      </c>
    </row>
    <row r="2" spans="1:3" x14ac:dyDescent="0.25">
      <c r="A2" s="29" t="s">
        <v>188</v>
      </c>
      <c r="B2" s="29">
        <v>50</v>
      </c>
      <c r="C2" s="29">
        <v>1000</v>
      </c>
    </row>
    <row r="3" spans="1:3" x14ac:dyDescent="0.25">
      <c r="A3" s="29" t="s">
        <v>189</v>
      </c>
      <c r="B3" s="29">
        <v>30</v>
      </c>
      <c r="C3" s="29">
        <v>600</v>
      </c>
    </row>
    <row r="4" spans="1:3" x14ac:dyDescent="0.25">
      <c r="A4" s="29" t="s">
        <v>190</v>
      </c>
      <c r="B4" s="29">
        <v>20</v>
      </c>
      <c r="C4" s="29">
        <v>400</v>
      </c>
    </row>
    <row r="5" spans="1:3" x14ac:dyDescent="0.25">
      <c r="A5" s="29" t="s">
        <v>191</v>
      </c>
      <c r="B5" s="29">
        <v>40</v>
      </c>
      <c r="C5" s="29">
        <v>800</v>
      </c>
    </row>
    <row r="6" spans="1:3" x14ac:dyDescent="0.25">
      <c r="A6" s="37" t="s">
        <v>192</v>
      </c>
      <c r="B6" s="37">
        <f>SUM(B2:B5)</f>
        <v>140</v>
      </c>
      <c r="C6" s="37">
        <f>SUM(C2:C5)</f>
        <v>2800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2" sqref="C12"/>
    </sheetView>
  </sheetViews>
  <sheetFormatPr defaultRowHeight="15" x14ac:dyDescent="0.25"/>
  <cols>
    <col min="1" max="1" width="10.28515625" bestFit="1" customWidth="1"/>
    <col min="2" max="2" width="12.42578125" customWidth="1"/>
    <col min="3" max="3" width="10.85546875" bestFit="1" customWidth="1"/>
    <col min="5" max="5" width="7.5703125" customWidth="1"/>
  </cols>
  <sheetData>
    <row r="1" spans="1:5" ht="30" x14ac:dyDescent="0.25">
      <c r="A1" t="s">
        <v>193</v>
      </c>
      <c r="B1" t="s">
        <v>194</v>
      </c>
      <c r="C1" t="s">
        <v>195</v>
      </c>
      <c r="D1" s="38" t="s">
        <v>196</v>
      </c>
      <c r="E1" s="39" t="s">
        <v>197</v>
      </c>
    </row>
    <row r="2" spans="1:5" x14ac:dyDescent="0.25">
      <c r="A2">
        <v>1</v>
      </c>
      <c r="B2" t="s">
        <v>198</v>
      </c>
      <c r="C2">
        <v>85</v>
      </c>
      <c r="D2">
        <v>90</v>
      </c>
      <c r="E2">
        <v>88</v>
      </c>
    </row>
    <row r="3" spans="1:5" x14ac:dyDescent="0.25">
      <c r="A3">
        <v>2</v>
      </c>
      <c r="B3" t="s">
        <v>199</v>
      </c>
      <c r="C3">
        <v>78</v>
      </c>
      <c r="D3">
        <v>82</v>
      </c>
      <c r="E3">
        <v>79</v>
      </c>
    </row>
    <row r="4" spans="1:5" x14ac:dyDescent="0.25">
      <c r="A4">
        <v>3</v>
      </c>
      <c r="B4" t="s">
        <v>200</v>
      </c>
      <c r="C4">
        <v>92</v>
      </c>
      <c r="D4">
        <v>88</v>
      </c>
      <c r="E4">
        <v>95</v>
      </c>
    </row>
    <row r="5" spans="1:5" x14ac:dyDescent="0.25">
      <c r="A5">
        <v>4</v>
      </c>
      <c r="B5" t="s">
        <v>201</v>
      </c>
      <c r="C5">
        <v>65</v>
      </c>
      <c r="D5">
        <v>70</v>
      </c>
      <c r="E5">
        <v>68</v>
      </c>
    </row>
    <row r="6" spans="1:5" x14ac:dyDescent="0.25">
      <c r="A6">
        <v>5</v>
      </c>
      <c r="B6" t="s">
        <v>202</v>
      </c>
      <c r="C6">
        <v>80</v>
      </c>
      <c r="D6">
        <v>94</v>
      </c>
      <c r="E6">
        <v>90</v>
      </c>
    </row>
  </sheetData>
  <conditionalFormatting sqref="C2:E6">
    <cfRule type="expression" dxfId="0" priority="1">
      <formula>C2&lt;AVERAGE($C$2:$C$6)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D8" sqref="D8"/>
    </sheetView>
  </sheetViews>
  <sheetFormatPr defaultRowHeight="15" x14ac:dyDescent="0.25"/>
  <sheetData>
    <row r="1" spans="1:3" ht="45" x14ac:dyDescent="0.25">
      <c r="A1" s="19" t="s">
        <v>203</v>
      </c>
      <c r="B1" s="21" t="s">
        <v>204</v>
      </c>
      <c r="C1" s="21" t="s">
        <v>205</v>
      </c>
    </row>
    <row r="2" spans="1:3" x14ac:dyDescent="0.25">
      <c r="A2" s="2" t="s">
        <v>206</v>
      </c>
      <c r="B2" s="20">
        <v>1</v>
      </c>
      <c r="C2" s="20">
        <v>42</v>
      </c>
    </row>
    <row r="3" spans="1:3" x14ac:dyDescent="0.25">
      <c r="A3" s="2" t="s">
        <v>207</v>
      </c>
      <c r="B3" s="20">
        <v>2</v>
      </c>
      <c r="C3" s="20">
        <v>48</v>
      </c>
    </row>
    <row r="4" spans="1:3" x14ac:dyDescent="0.25">
      <c r="A4" s="2" t="s">
        <v>208</v>
      </c>
      <c r="B4" s="20">
        <v>2.5</v>
      </c>
      <c r="C4" s="20">
        <v>55</v>
      </c>
    </row>
    <row r="5" spans="1:3" x14ac:dyDescent="0.25">
      <c r="A5" s="2" t="s">
        <v>209</v>
      </c>
      <c r="B5" s="20">
        <v>3</v>
      </c>
      <c r="C5" s="20">
        <v>58</v>
      </c>
    </row>
    <row r="6" spans="1:3" x14ac:dyDescent="0.25">
      <c r="A6" s="2" t="s">
        <v>210</v>
      </c>
      <c r="B6" s="20">
        <v>3.5</v>
      </c>
      <c r="C6" s="20">
        <v>63</v>
      </c>
    </row>
    <row r="7" spans="1:3" x14ac:dyDescent="0.25">
      <c r="A7" s="2" t="s">
        <v>211</v>
      </c>
      <c r="B7" s="20">
        <v>4</v>
      </c>
      <c r="C7" s="20">
        <v>67</v>
      </c>
    </row>
    <row r="8" spans="1:3" x14ac:dyDescent="0.25">
      <c r="A8" s="2" t="s">
        <v>212</v>
      </c>
      <c r="B8" s="20">
        <v>4.5</v>
      </c>
      <c r="C8" s="20">
        <v>71</v>
      </c>
    </row>
    <row r="9" spans="1:3" x14ac:dyDescent="0.25">
      <c r="A9" s="2" t="s">
        <v>213</v>
      </c>
      <c r="B9" s="20">
        <v>5</v>
      </c>
      <c r="C9" s="20">
        <v>74</v>
      </c>
    </row>
    <row r="10" spans="1:3" x14ac:dyDescent="0.25">
      <c r="A10" s="2" t="s">
        <v>214</v>
      </c>
      <c r="B10" s="20">
        <v>5.5</v>
      </c>
      <c r="C10" s="20">
        <v>78</v>
      </c>
    </row>
    <row r="11" spans="1:3" x14ac:dyDescent="0.25">
      <c r="A11" s="2" t="s">
        <v>215</v>
      </c>
      <c r="B11" s="20">
        <v>6</v>
      </c>
      <c r="C11" s="20">
        <v>81</v>
      </c>
    </row>
    <row r="12" spans="1:3" x14ac:dyDescent="0.25">
      <c r="A12" s="2" t="s">
        <v>216</v>
      </c>
      <c r="B12" s="20">
        <v>6.5</v>
      </c>
      <c r="C12" s="20">
        <v>84</v>
      </c>
    </row>
    <row r="13" spans="1:3" x14ac:dyDescent="0.25">
      <c r="A13" s="2" t="s">
        <v>217</v>
      </c>
      <c r="B13" s="20">
        <v>7</v>
      </c>
      <c r="C13" s="20">
        <v>88</v>
      </c>
    </row>
    <row r="14" spans="1:3" x14ac:dyDescent="0.25">
      <c r="A14" s="2" t="s">
        <v>218</v>
      </c>
      <c r="B14" s="20">
        <v>7.5</v>
      </c>
      <c r="C14" s="20">
        <v>90</v>
      </c>
    </row>
    <row r="15" spans="1:3" x14ac:dyDescent="0.25">
      <c r="A15" s="2" t="s">
        <v>219</v>
      </c>
      <c r="B15" s="20">
        <v>8</v>
      </c>
      <c r="C15" s="20">
        <v>93</v>
      </c>
    </row>
    <row r="16" spans="1:3" x14ac:dyDescent="0.25">
      <c r="A16" s="2" t="s">
        <v>220</v>
      </c>
      <c r="B16" s="20">
        <v>9</v>
      </c>
      <c r="C16" s="20">
        <v>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FUNCTIONS</vt:lpstr>
      <vt:lpstr>PIVOT TABLE4</vt:lpstr>
      <vt:lpstr>PIVOT TABLE 2</vt:lpstr>
      <vt:lpstr>pivot table1</vt:lpstr>
      <vt:lpstr>PIVOT CHART</vt:lpstr>
      <vt:lpstr>PIVOT TABLE3</vt:lpstr>
      <vt:lpstr>conditional formatting</vt:lpstr>
      <vt:lpstr>Advance Filtering</vt:lpstr>
      <vt:lpstr>Macros</vt:lpstr>
      <vt:lpstr>conditionalformattinginmacros</vt:lpstr>
      <vt:lpstr>datalabels_legends</vt:lpstr>
      <vt:lpstr>'Advance Filtering'!Criteria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2026-07-27T12:43:24Z</dcterms:created>
  <dcterms:modified xsi:type="dcterms:W3CDTF">2026-07-30T06:48:50Z</dcterms:modified>
</cp:coreProperties>
</file>